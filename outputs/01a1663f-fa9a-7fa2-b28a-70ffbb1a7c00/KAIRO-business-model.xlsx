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b6b4b4e24a41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2f75abbb1ca4807"/>
    <x:sheet xmlns:r="http://schemas.openxmlformats.org/officeDocument/2006/relationships" name="Assumptions" sheetId="2" r:id="R97aa4f97d209470f"/>
    <x:sheet xmlns:r="http://schemas.openxmlformats.org/officeDocument/2006/relationships" name="Forecast" sheetId="3" r:id="R4673da870cf94654"/>
    <x:sheet xmlns:r="http://schemas.openxmlformats.org/officeDocument/2006/relationships" name="Unit costs" sheetId="4" r:id="R4587090e4c5f47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.0000"/>
    <x:numFmt numFmtId="201" formatCode="0.0%"/>
    <x:numFmt numFmtId="202" formatCode="#,##0"/>
    <x:numFmt numFmtId="203" formatCode="0.00000"/>
    <x:numFmt numFmtId="204" formatCode="&quot;R&quot;#,##0.00;(&quot;R&quot;#,##0.00);&quot;–&quot;"/>
    <x:numFmt numFmtId="205" formatCode=";;;"/>
    <x:numFmt numFmtId="206" formatCode="#,##0.0"/>
    <x:numFmt numFmtId="207" formatCode="&quot;R&quot;#,##0;(&quot;R&quot;#,##0);&quot;–&quot;"/>
    <x:numFmt numFmtId="208" formatCode="0%"/>
  </x:numFmts>
  <x:fonts count="6">
    <x:font>
      <x:sz val="11"/>
      <x:name val="Carlito"/>
    </x:font>
    <x:font>
      <x:sz val="10"/>
      <x:color rgb="FF252B28"/>
      <x:name val="Arial"/>
    </x:font>
    <x:font>
      <x:sz val="10"/>
      <x:color rgb="FF008000"/>
      <x:name val="Arial"/>
    </x:font>
    <x:font>
      <x:b/>
      <x:sz val="13"/>
      <x:color rgb="FFFFFFFF"/>
      <x:name val="Arial"/>
    </x:font>
    <x:font>
      <x:sz val="10"/>
      <x:color rgb="FF0000FF"/>
      <x:name val="Arial"/>
    </x:font>
    <x:font>
      <x:b/>
      <x:sz val="10"/>
      <x:color rgb="FF252B2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5F0E6"/>
      </x:patternFill>
    </x:fill>
    <x:fill>
      <x:patternFill patternType="solid">
        <x:fgColor rgb="FF3E5144"/>
      </x:patternFill>
    </x:fill>
    <x:fill>
      <x:patternFill patternType="solid">
        <x:fgColor rgb="FFA7AF9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2" borderId="0" xfId="0" applyNumberFormat="1" applyFont="1" applyFill="1" applyBorder="1"/>
    <x:xf numFmtId="200" fontId="1" fillId="2" borderId="0" xfId="0" applyNumberFormat="1" applyFont="1" applyFill="1" applyBorder="1"/>
    <x:xf numFmtId="200" fontId="4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1" fontId="1" fillId="2" borderId="0" xfId="0" applyNumberFormat="1" applyFont="1" applyFill="1" applyBorder="1"/>
    <x:xf numFmtId="201" fontId="4" fillId="2" borderId="0" xfId="0" applyNumberFormat="1" applyFont="1" applyFill="1" applyBorder="1"/>
    <x:xf numFmtId="202" fontId="1" fillId="2" borderId="0" xfId="0" applyNumberFormat="1" applyFont="1" applyFill="1" applyBorder="1"/>
    <x:xf numFmtId="202" fontId="4" fillId="2" borderId="0" xfId="0" applyNumberFormat="1" applyFont="1" applyFill="1" applyBorder="1"/>
    <x:xf numFmtId="203" fontId="1" fillId="2" borderId="0" xfId="0" applyNumberFormat="1" applyFont="1" applyFill="1" applyBorder="1"/>
    <x:xf numFmtId="203" fontId="4" fillId="2" borderId="0" xfId="0" applyNumberFormat="1" applyFont="1" applyFill="1" applyBorder="1"/>
    <x:xf numFmtId="204" fontId="2" fillId="2" borderId="0" xfId="0" applyNumberFormat="1" applyFont="1" applyFill="1" applyBorder="1"/>
    <x:xf numFmtId="204" fontId="1" fillId="2" borderId="0" xfId="0" applyNumberFormat="1" applyFont="1" applyFill="1" applyBorder="1"/>
    <x:xf numFmtId="202" fontId="2" fillId="2" borderId="0" xfId="0" applyNumberFormat="1" applyFont="1" applyFill="1" applyBorder="1"/>
    <x:xf numFmtId="205" fontId="1" fillId="2" borderId="0" xfId="0" applyNumberFormat="1" applyFont="1" applyFill="1" applyBorder="1"/>
    <x:xf numFmtId="206" fontId="2" fillId="2" borderId="0" xfId="0" applyNumberFormat="1" applyFont="1" applyFill="1" applyBorder="1"/>
    <x:xf numFmtId="206" fontId="1" fillId="2" borderId="0" xfId="0" applyNumberFormat="1" applyFont="1" applyFill="1" applyBorder="1"/>
    <x:xf numFmtId="207" fontId="2" fillId="2" borderId="0" xfId="0" applyNumberFormat="1" applyFont="1" applyFill="1" applyBorder="1"/>
    <x:xf numFmtId="207" fontId="1" fillId="2" borderId="0" xfId="0" applyNumberFormat="1" applyFont="1" applyFill="1" applyBorder="1"/>
    <x:xf numFmtId="208" fontId="1" fillId="2" borderId="0" xfId="0" applyNumberFormat="1" applyFont="1" applyFill="1" applyBorder="1"/>
    <x:xf numFmtId="0" fontId="1" fillId="4" borderId="0" xfId="0" applyNumberFormat="1" applyFont="1" applyFill="1" applyBorder="1"/>
    <x:xf numFmtId="207" fontId="1" fillId="4" borderId="0" xfId="0" applyNumberFormat="1" applyFont="1" applyFill="1" applyBorder="1"/>
    <x:xf numFmtId="0" fontId="5" fillId="4" borderId="0" xfId="0" applyNumberFormat="1" applyFont="1" applyFill="1" applyBorder="1"/>
    <x:xf numFmtId="207" fontId="5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70f51043e54d44" /><Relationship Type="http://schemas.openxmlformats.org/officeDocument/2006/relationships/theme" Target="/xl/theme/theme1.xml" Id="Ra15abdb2c20f42ce" /><Relationship Type="http://schemas.openxmlformats.org/officeDocument/2006/relationships/sharedStrings" Target="/xl/sharedStrings.xml" Id="Rd3bf0321feeb460a" /><Relationship Type="http://schemas.openxmlformats.org/officeDocument/2006/relationships/worksheet" Target="/xl/worksheets/sheet1.xml" Id="R72f75abbb1ca4807" /><Relationship Type="http://schemas.openxmlformats.org/officeDocument/2006/relationships/worksheet" Target="/xl/worksheets/sheet2.xml" Id="R97aa4f97d209470f" /><Relationship Type="http://schemas.openxmlformats.org/officeDocument/2006/relationships/worksheet" Target="/xl/worksheets/sheet3.xml" Id="R4673da870cf94654" /><Relationship Type="http://schemas.openxmlformats.org/officeDocument/2006/relationships/worksheet" Target="/xl/worksheets/sheet4.xml" Id="R4587090e4c5f473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b393eeb46dc4a5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Earned revenue and operating result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'Summary'!$B$20:$B$43</c:f>
              <c:strCache>
                <c:ptCount val="0"/>
              </c:strCache>
            </c:strRef>
          </c:cat>
          <c:val>
            <c:numRef>
              <c:f>'Summary'!$C$20:$C$43</c:f>
              <c:numCache>
                <c:formatCode>"R"#,##0;("R"#,##0);"–"</c:formatCode>
                <c:ptCount val="0"/>
              </c:numCache>
            </c:numRef>
          </c:val>
          <c:smooth val="0"/>
        </c:ser>
        <c:ser>
          <c:idx val="1"/>
          <c:order val="1"/>
          <c:tx>
            <c:v>Operating</c:v>
          </c:tx>
          <c:marker>
            <c:symbol val="none"/>
          </c:marker>
          <c:cat>
            <c:strRef>
              <c:f>'Summary'!$B$20:$B$43</c:f>
              <c:strCache>
                <c:ptCount val="0"/>
              </c:strCache>
            </c:strRef>
          </c:cat>
          <c:val>
            <c:numRef>
              <c:f>'Summary'!$D$20:$D$43</c:f>
              <c:numCache>
                <c:formatCode>"R"#,##0;("R"#,##0);"–"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R&quot;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19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b393eeb46dc4a5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ce23ba519054ec8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9" hidden="0" customWidth="1"/>
    <x:col min="3" max="3" width="13" hidden="0" customWidth="1"/>
    <x:col min="4" max="4" width="20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</x:cols>
  <x:sheetData>
    <x:row r="1" ht="22" customHeight="1">
      <x:c r="A1" s="2"/>
      <x:c r="B1" s="5" t="str">
        <x:v>KAIRO · business economics · hypotheses, not sales forecasts</x:v>
      </x:c>
      <x:c r="C1" s="5"/>
      <x:c r="D1" s="5"/>
      <x:c r="E1" s="5"/>
      <x:c r="F1" s="5"/>
      <x:c r="G1" s="5"/>
      <x:c r="H1" s="5"/>
      <x:c r="I1" s="5"/>
      <x:c r="J1" s="5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22" customHeight="1">
      <x:c r="A2" s="2"/>
      <x:c r="B2" s="2" t="str">
        <x:v>Selected case</x:v>
      </x:c>
      <x:c r="C2" s="3" t="str">
        <x:f>Assumptions!B3</x:f>
        <x:v>Base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 ht="22" customHeight="1">
      <x:c r="A3" s="2"/>
      <x:c r="B3" s="9" t="str">
        <x:v>Start with a 20–40 learner validation pilot. Commercial 250-seat cohorts and R49 subscriptions require buyer evidence, metering and delivery gates. No customers or revenue are claimed.</x:v>
      </x:c>
      <x:c r="C3" s="9"/>
      <x:c r="D3" s="9"/>
      <x:c r="E3" s="9"/>
      <x:c r="F3" s="9"/>
      <x:c r="G3" s="9"/>
      <x:c r="H3" s="9"/>
      <x:c r="I3" s="9"/>
      <x:c r="J3" s="9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 ht="22" customHeight="1">
      <x:c r="A4" s="2"/>
      <x:c r="B4" s="9"/>
      <x:c r="C4" s="9"/>
      <x:c r="D4" s="9"/>
      <x:c r="E4" s="9"/>
      <x:c r="F4" s="9"/>
      <x:c r="G4" s="9"/>
      <x:c r="H4" s="9"/>
      <x:c r="I4" s="9"/>
      <x:c r="J4" s="9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</x:row>
    <x:row r="6" ht="22" customHeight="1">
      <x:c r="A6" s="2"/>
      <x:c r="B6" s="2" t="str">
        <x:v>Year 1 earned revenue</x:v>
      </x:c>
      <x:c r="C6" s="2"/>
      <x:c r="D6" s="22" t="n">
        <x:f>SUM(Forecast!C23:N23)</x:f>
        <x:v>128981.19999895267</x:v>
      </x:c>
      <x:c r="E6" s="2"/>
      <x:c r="F6" s="9" t="str">
        <x:v>Decision: do not scale on enrolment statistics alone. Test a specific source → lesson → practice task, then a scoped paid offer. Annual upfront cash is NOT earned profit; deferred delivery still needs funding. All returns are pre-income-tax and pre-financing.</x:v>
      </x:c>
      <x:c r="G6" s="9"/>
      <x:c r="H6" s="9"/>
      <x:c r="I6" s="9"/>
      <x:c r="J6" s="9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</x:row>
    <x:row r="7" ht="22" customHeight="1">
      <x:c r="A7" s="2"/>
      <x:c r="B7" s="2" t="str">
        <x:v>Year 2 earned revenue</x:v>
      </x:c>
      <x:c r="C7" s="2"/>
      <x:c r="D7" s="22" t="n">
        <x:f>SUM(Forecast!O23:Z23)</x:f>
        <x:v>580628.1045807127</x:v>
      </x:c>
      <x:c r="E7" s="2"/>
      <x:c r="F7" s="9"/>
      <x:c r="G7" s="9"/>
      <x:c r="H7" s="9"/>
      <x:c r="I7" s="9"/>
      <x:c r="J7" s="9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</x:row>
    <x:row r="8" ht="22" customHeight="1">
      <x:c r="A8" s="2"/>
      <x:c r="B8" s="2" t="str">
        <x:v>Month 24 revenue</x:v>
      </x:c>
      <x:c r="C8" s="2"/>
      <x:c r="D8" s="22" t="n">
        <x:f>Forecast!Z23</x:f>
        <x:v>76711.79225900493</x:v>
      </x:c>
      <x:c r="E8" s="2"/>
      <x:c r="F8" s="9"/>
      <x:c r="G8" s="9"/>
      <x:c r="H8" s="9"/>
      <x:c r="I8" s="9"/>
      <x:c r="J8" s="9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</x:row>
    <x:row r="9" ht="22" customHeight="1">
      <x:c r="A9" s="2"/>
      <x:c r="B9" s="2" t="str">
        <x:v>Month 24 operating before income tax</x:v>
      </x:c>
      <x:c r="C9" s="2"/>
      <x:c r="D9" s="22" t="n">
        <x:f>Forecast!Z32</x:f>
        <x:v>5904.844231408778</x:v>
      </x:c>
      <x:c r="E9" s="2"/>
      <x:c r="F9" s="9"/>
      <x:c r="G9" s="9"/>
      <x:c r="H9" s="9"/>
      <x:c r="I9" s="9"/>
      <x:c r="J9" s="9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</x:row>
    <x:row r="10" ht="22" customHeight="1">
      <x:c r="A10" s="2"/>
      <x:c r="B10" s="2" t="str">
        <x:v>Peak cash deficit</x:v>
      </x:c>
      <x:c r="C10" s="2"/>
      <x:c r="D10" s="22" t="n">
        <x:f>MAX(0,-MIN(Forecast!C41:Z41))</x:f>
        <x:v>391812.0128118082</x:v>
      </x:c>
      <x:c r="E10" s="2"/>
      <x:c r="F10" s="9"/>
      <x:c r="G10" s="9"/>
      <x:c r="H10" s="9"/>
      <x:c r="I10" s="9"/>
      <x:c r="J10" s="9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</x:row>
    <x:row r="11" ht="22" customHeight="1">
      <x:c r="A11" s="2"/>
      <x:c r="B11" s="2" t="str">
        <x:v>Cash requirement +20% buffer</x:v>
      </x:c>
      <x:c r="C11" s="2"/>
      <x:c r="D11" s="23" t="n">
        <x:f>D10*1.2</x:f>
        <x:v>470174.4153741698</x:v>
      </x:c>
      <x:c r="E11" s="2"/>
      <x:c r="F11" s="9"/>
      <x:c r="G11" s="9"/>
      <x:c r="H11" s="9"/>
      <x:c r="I11" s="9"/>
      <x:c r="J11" s="9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</x:row>
    <x:row r="12" ht="22" customHeight="1">
      <x:c r="A12" s="2"/>
      <x:c r="B12" s="2" t="str">
        <x:v>Month 24 consumer accounts</x:v>
      </x:c>
      <x:c r="C12" s="2"/>
      <x:c r="D12" s="18" t="n">
        <x:f>Forecast!Z12</x:f>
        <x:v>228.93038287093748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</x:row>
    <x:row r="13" ht="22" customHeight="1">
      <x:c r="A13" s="2"/>
      <x:c r="B13" s="2" t="str">
        <x:v>Month 24 licensed seats</x:v>
      </x:c>
      <x:c r="C13" s="2"/>
      <x:c r="D13" s="18" t="n">
        <x:f>Forecast!Z17</x:f>
        <x:v>1750</x:v>
      </x:c>
      <x:c r="E13" s="2"/>
      <x:c r="F13" s="9" t="str">
        <x:v>Model assumptions exclude free credits. Cash uses staged founder draw; operating includes replacement labour. Infrastructure reserve, demand and support minutes need real measurements. Scenario and 5,000-run stress results are in ECONOMICS.md / model-results.json, not live Excel forecasts.</x:v>
      </x:c>
      <x:c r="G13" s="9"/>
      <x:c r="H13" s="9"/>
      <x:c r="I13" s="9"/>
      <x:c r="J13" s="9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</x:row>
    <x:row r="14" ht="22" customHeight="1">
      <x:c r="A14" s="2"/>
      <x:c r="B14" s="2" t="str">
        <x:v>Month 24 receivables</x:v>
      </x:c>
      <x:c r="C14" s="2"/>
      <x:c r="D14" s="22" t="n">
        <x:f>Forecast!Z36</x:f>
        <x:v>216000</x:v>
      </x:c>
      <x:c r="E14" s="2"/>
      <x:c r="F14" s="9"/>
      <x:c r="G14" s="9"/>
      <x:c r="H14" s="9"/>
      <x:c r="I14" s="9"/>
      <x:c r="J14" s="9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</x:row>
    <x:row r="15" ht="22" customHeight="1">
      <x:c r="A15" s="2"/>
      <x:c r="B15" s="2" t="str">
        <x:v>Month 24 deferred revenue</x:v>
      </x:c>
      <x:c r="C15" s="2"/>
      <x:c r="D15" s="22" t="n">
        <x:f>Forecast!Z37</x:f>
        <x:v>437500</x:v>
      </x:c>
      <x:c r="E15" s="2"/>
      <x:c r="F15" s="9"/>
      <x:c r="G15" s="9"/>
      <x:c r="H15" s="9"/>
      <x:c r="I15" s="9"/>
      <x:c r="J15" s="9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</x:row>
    <x:row r="16" ht="22" customHeight="1">
      <x:c r="A16" s="2"/>
      <x:c r="B16" s="2"/>
      <x:c r="C16" s="2"/>
      <x:c r="D16" s="2"/>
      <x:c r="E16" s="2"/>
      <x:c r="F16" s="9"/>
      <x:c r="G16" s="9"/>
      <x:c r="H16" s="9"/>
      <x:c r="I16" s="9"/>
      <x:c r="J16" s="9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</x:row>
    <x:row r="17" ht="22" customHeight="1">
      <x:c r="A17" s="2"/>
      <x:c r="B17" s="2"/>
      <x:c r="C17" s="2"/>
      <x:c r="D17" s="2"/>
      <x:c r="E17" s="2"/>
      <x:c r="F17" s="9"/>
      <x:c r="G17" s="9"/>
      <x:c r="H17" s="9"/>
      <x:c r="I17" s="9"/>
      <x:c r="J17" s="9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</x:row>
    <x:row r="19" ht="22" customHeight="1">
      <x:c r="A19" s="2"/>
      <x:c r="B19" s="2" t="str">
        <x:v>Month</x:v>
      </x:c>
      <x:c r="C19" s="2" t="str">
        <x:v>Revenue</x:v>
      </x:c>
      <x:c r="D19" s="2" t="str">
        <x:v>Operating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</x:row>
    <x:row r="20" ht="22" customHeight="1">
      <x:c r="A20" s="2"/>
      <x:c r="B20" s="3" t="n">
        <x:f>Forecast!C6</x:f>
        <x:v>1</x:v>
      </x:c>
      <x:c r="C20" s="22" t="n">
        <x:f>Forecast!C23</x:f>
        <x:v>206.6521739130435</x:v>
      </x:c>
      <x:c r="D20" s="22" t="n">
        <x:f>Forecast!C32</x:f>
        <x:v>-47441.73181358695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</x:row>
    <x:row r="21" ht="22" customHeight="1">
      <x:c r="A21" s="2"/>
      <x:c r="B21" s="3" t="n">
        <x:f>Forecast!D6</x:f>
        <x:v>2</x:v>
      </x:c>
      <x:c r="C21" s="22" t="n">
        <x:f>Forecast!D23</x:f>
        <x:v>342.62930434782606</x:v>
      </x:c>
      <x:c r="D21" s="22" t="n">
        <x:f>Forecast!D32</x:f>
        <x:v>-47355.155607777175</x:v>
      </x:c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</x:row>
    <x:row r="22" ht="22" customHeight="1">
      <x:c r="A22" s="2"/>
      <x:c r="B22" s="3" t="n">
        <x:f>Forecast!E6</x:f>
        <x:v>3</x:v>
      </x:c>
      <x:c r="C22" s="22" t="n">
        <x:f>Forecast!E23</x:f>
        <x:v>487.1411695652174</x:v>
      </x:c>
      <x:c r="D22" s="22" t="n">
        <x:f>Forecast!E32</x:f>
        <x:v>-47265.42649977533</x:v>
      </x:c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</x:row>
    <x:row r="23" ht="22" customHeight="1">
      <x:c r="A23" s="2"/>
      <x:c r="B23" s="3" t="n">
        <x:f>Forecast!F6</x:f>
        <x:v>4</x:v>
      </x:c>
      <x:c r="C23" s="22" t="n">
        <x:f>Forecast!F23</x:f>
        <x:v>743.3727130869567</x:v>
      </x:c>
      <x:c r="D23" s="22" t="n">
        <x:f>Forecast!F32</x:f>
        <x:v>-47136.95087354691</x:v>
      </x:c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</x:row>
    <x:row r="24" ht="22" customHeight="1">
      <x:c r="A24" s="2"/>
      <x:c r="B24" s="3" t="n">
        <x:f>Forecast!G6</x:f>
        <x:v>5</x:v>
      </x:c>
      <x:c r="C24" s="22" t="n">
        <x:f>Forecast!G23</x:f>
        <x:v>1016.5078196091307</x:v>
      </x:c>
      <x:c r="D24" s="22" t="n">
        <x:f>Forecast!G32</x:f>
        <x:v>-46979.72976622827</x:v>
      </x:c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</x:row>
    <x:row r="25" ht="22" customHeight="1">
      <x:c r="A25" s="2"/>
      <x:c r="B25" s="3" t="n">
        <x:f>Forecast!H6</x:f>
        <x:v>6</x:v>
      </x:c>
      <x:c r="C25" s="22" t="n">
        <x:f>Forecast!H23</x:f>
        <x:v>14750</x:v>
      </x:c>
      <x:c r="D25" s="22" t="n">
        <x:f>Forecast!H32</x:f>
        <x:v>-45776.38935568648</x:v>
      </x:c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</x:row>
    <x:row r="26" ht="22" customHeight="1">
      <x:c r="A26" s="2"/>
      <x:c r="B26" s="3" t="n">
        <x:f>Forecast!I6</x:f>
        <x:v>7</x:v>
      </x:c>
      <x:c r="C26" s="22" t="n">
        <x:f>Forecast!I23</x:f>
        <x:v>9157.894748812154</x:v>
      </x:c>
      <x:c r="D26" s="22" t="n">
        <x:f>Forecast!I32</x:f>
        <x:v>-39634.71858035841</x:v>
      </x:c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</x:row>
    <x:row r="27" ht="22" customHeight="1">
      <x:c r="A27" s="2"/>
      <x:c r="B27" s="3" t="n">
        <x:f>Forecast!J6</x:f>
        <x:v>8</x:v>
      </x:c>
      <x:c r="C27" s="22" t="n">
        <x:f>Forecast!J23</x:f>
        <x:v>9517.657917264474</x:v>
      </x:c>
      <x:c r="D27" s="22" t="n">
        <x:f>Forecast!J32</x:f>
        <x:v>-39427.72563464969</x:v>
      </x:c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</x:row>
    <x:row r="28" ht="22" customHeight="1">
      <x:c r="A28" s="2"/>
      <x:c r="B28" s="3" t="n">
        <x:f>Forecast!K6</x:f>
        <x:v>9</x:v>
      </x:c>
      <x:c r="C28" s="22" t="n">
        <x:f>Forecast!K23</x:f>
        <x:v>23500</x:v>
      </x:c>
      <x:c r="D28" s="22" t="n">
        <x:f>Forecast!K32</x:f>
        <x:v>-38061.45863232805</x:v>
      </x:c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</x:row>
    <x:row r="29" ht="22" customHeight="1">
      <x:c r="A29" s="2"/>
      <x:c r="B29" s="3" t="n">
        <x:f>Forecast!L6</x:f>
        <x:v>10</x:v>
      </x:c>
      <x:c r="C29" s="22" t="n">
        <x:f>Forecast!L23</x:f>
        <x:v>18073.062753659164</x:v>
      </x:c>
      <x:c r="D29" s="22" t="n">
        <x:f>Forecast!L32</x:f>
        <x:v>-31842.66153836937</x:v>
      </x:c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</x:row>
    <x:row r="30" ht="22" customHeight="1">
      <x:c r="A30" s="2"/>
      <x:c r="B30" s="3" t="n">
        <x:f>Forecast!M6</x:f>
        <x:v>11</x:v>
      </x:c>
      <x:c r="C30" s="22" t="n">
        <x:f>Forecast!M23</x:f>
        <x:v>18674.778645001283</x:v>
      </x:c>
      <x:c r="D30" s="22" t="n">
        <x:f>Forecast!M32</x:f>
        <x:v>-31514.54643748838</x:v>
      </x:c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</x:row>
    <x:row r="31" ht="22" customHeight="1">
      <x:c r="A31" s="2"/>
      <x:c r="B31" s="3" t="n">
        <x:f>Forecast!N6</x:f>
        <x:v>12</x:v>
      </x:c>
      <x:c r="C31" s="22" t="n">
        <x:f>Forecast!N23</x:f>
        <x:v>32511.50275369342</x:v>
      </x:c>
      <x:c r="D31" s="22" t="n">
        <x:f>Forecast!N32</x:f>
        <x:v>-30282.583048979894</x:v>
      </x:c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</x:row>
    <x:row r="32" ht="22" customHeight="1">
      <x:c r="A32" s="2"/>
      <x:c r="B32" s="3" t="n">
        <x:f>Forecast!O6</x:f>
        <x:v>13</x:v>
      </x:c>
      <x:c r="C32" s="22" t="n">
        <x:f>Forecast!O23</x:f>
        <x:v>27298.309469307744</x:v>
      </x:c>
      <x:c r="D32" s="22" t="n">
        <x:f>Forecast!O32</x:f>
        <x:v>-23899.809144156567</x:v>
      </x:c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</x:row>
    <x:row r="33" ht="22" customHeight="1">
      <x:c r="A33" s="2"/>
      <x:c r="B33" s="3" t="n">
        <x:f>Forecast!P6</x:f>
        <x:v>14</x:v>
      </x:c>
      <x:c r="C33" s="22" t="n">
        <x:f>Forecast!P23</x:f>
        <x:v>27811.049275751644</x:v>
      </x:c>
      <x:c r="D33" s="22" t="n">
        <x:f>Forecast!P32</x:f>
        <x:v>-23528.833383572703</x:v>
      </x:c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</x:row>
    <x:row r="34" ht="22" customHeight="1">
      <x:c r="A34" s="2"/>
      <x:c r="B34" s="3" t="n">
        <x:f>Forecast!Q6</x:f>
        <x:v>15</x:v>
      </x:c>
      <x:c r="C34" s="22" t="n">
        <x:f>Forecast!Q23</x:f>
        <x:v>41558.3405677121</x:v>
      </x:c>
      <x:c r="D34" s="22" t="n">
        <x:f>Forecast!Q32</x:f>
        <x:v>-22319.0607122795</x:v>
      </x:c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</x:row>
    <x:row r="35" ht="22" customHeight="1">
      <x:c r="A35" s="2"/>
      <x:c r="B35" s="3" t="n">
        <x:f>Forecast!R6</x:f>
        <x:v>16</x:v>
      </x:c>
      <x:c r="C35" s="22" t="n">
        <x:f>Forecast!R23</x:f>
        <x:v>36650.38099117872</x:v>
      </x:c>
      <x:c r="D35" s="22" t="n">
        <x:f>Forecast!R32</x:f>
        <x:v>-15850.895892637438</x:v>
      </x:c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</x:row>
    <x:row r="36" ht="22" customHeight="1">
      <x:c r="A36" s="2"/>
      <x:c r="B36" s="3" t="n">
        <x:f>Forecast!S6</x:f>
        <x:v>17</x:v>
      </x:c>
      <x:c r="C36" s="22" t="n">
        <x:f>Forecast!S23</x:f>
        <x:v>37801.71349658745</x:v>
      </x:c>
      <x:c r="D36" s="22" t="n">
        <x:f>Forecast!S32</x:f>
        <x:v>-15212.829213294435</x:v>
      </x:c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</x:row>
    <x:row r="37" ht="22" customHeight="1">
      <x:c r="A37" s="2"/>
      <x:c r="B37" s="3" t="n">
        <x:f>Forecast!T6</x:f>
        <x:v>18</x:v>
      </x:c>
      <x:c r="C37" s="22" t="n">
        <x:f>Forecast!T23</x:f>
        <x:v>52224.584523244695</x:v>
      </x:c>
      <x:c r="D37" s="22" t="n">
        <x:f>Forecast!T32</x:f>
        <x:v>-13631.506677092571</x:v>
      </x:c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</x:row>
    <x:row r="38" ht="22" customHeight="1">
      <x:c r="A38" s="2"/>
      <x:c r="B38" s="3" t="n">
        <x:f>Forecast!U6</x:f>
        <x:v>19</x:v>
      </x:c>
      <x:c r="C38" s="22" t="n">
        <x:f>Forecast!U23</x:f>
        <x:v>47640.5117554757</x:v>
      </x:c>
      <x:c r="D38" s="22" t="n">
        <x:f>Forecast!U32</x:f>
        <x:v>-6868.244564202522</x:v>
      </x:c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</x:row>
    <x:row r="39" ht="22" customHeight="1">
      <x:c r="A39" s="2"/>
      <x:c r="B39" s="3" t="n">
        <x:f>Forecast!V6</x:f>
        <x:v>20</x:v>
      </x:c>
      <x:c r="C39" s="22" t="n">
        <x:f>Forecast!V23</x:f>
        <x:v>48881.044970305345</x:v>
      </x:c>
      <x:c r="D39" s="22" t="n">
        <x:f>Forecast!V32</x:f>
        <x:v>-6069.593583666708</x:v>
      </x:c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</x:row>
    <x:row r="40" ht="22" customHeight="1">
      <x:c r="A40" s="2"/>
      <x:c r="B40" s="3" t="n">
        <x:f>Forecast!W6</x:f>
        <x:v>21</x:v>
      </x:c>
      <x:c r="C40" s="22" t="n">
        <x:f>Forecast!W23</x:f>
        <x:v>63416.39384027464</x:v>
      </x:c>
      <x:c r="D40" s="22" t="n">
        <x:f>Forecast!W32</x:f>
        <x:v>-4387.241739240718</x:v>
      </x:c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</x:row>
    <x:row r="41" ht="22" customHeight="1">
      <x:c r="A41" s="2"/>
      <x:c r="B41" s="3" t="n">
        <x:f>Forecast!X6</x:f>
        <x:v>22</x:v>
      </x:c>
      <x:c r="C41" s="22" t="n">
        <x:f>Forecast!X23</x:f>
        <x:v>59304.88500193438</x:v>
      </x:c>
      <x:c r="D41" s="22" t="n">
        <x:f>Forecast!X32</x:f>
        <x:v>2577.169817186751</x:v>
      </x:c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</x:row>
    <x:row r="42" ht="22" customHeight="1">
      <x:c r="A42" s="2"/>
      <x:c r="B42" s="3" t="n">
        <x:f>Forecast!Y6</x:f>
        <x:v>23</x:v>
      </x:c>
      <x:c r="C42" s="22" t="n">
        <x:f>Forecast!Y23</x:f>
        <x:v>61329.09842993542</x:v>
      </x:c>
      <x:c r="D42" s="22" t="n">
        <x:f>Forecast!Y32</x:f>
        <x:v>3745.738870516424</x:v>
      </x:c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</x:row>
    <x:row r="43" ht="22" customHeight="1">
      <x:c r="A43" s="2"/>
      <x:c r="B43" s="3" t="n">
        <x:f>Forecast!Z6</x:f>
        <x:v>24</x:v>
      </x:c>
      <x:c r="C43" s="22" t="n">
        <x:f>Forecast!Z23</x:f>
        <x:v>76711.79225900493</x:v>
      </x:c>
      <x:c r="D43" s="22" t="n">
        <x:f>Forecast!Z32</x:f>
        <x:v>5904.844231408778</x:v>
      </x:c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</x:row>
    <x:row r="44" ht="22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</x:row>
    <x:row r="45" ht="22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</x:row>
    <x:row r="46" ht="22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</x:row>
    <x:row r="47" ht="22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</x:row>
    <x:row r="48" ht="22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</x:row>
    <x:row r="49" ht="22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</x:row>
    <x:row r="50" ht="22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</x:row>
    <x:row r="51" ht="22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</x:row>
    <x:row r="52" ht="22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</x:row>
    <x:row r="53" ht="22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</x:row>
    <x:row r="54" ht="22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</x:row>
    <x:row r="55" ht="22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</x:row>
    <x:row r="56" ht="22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</x:row>
    <x:row r="57" ht="22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</x:row>
    <x:row r="58" ht="22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</x:row>
    <x:row r="59" ht="22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</x:row>
    <x:row r="60" ht="22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</x:row>
    <x:row r="61" ht="22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</x:row>
    <x:row r="62" ht="22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</x:row>
    <x:row r="63" ht="22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</x:row>
    <x:row r="64" ht="22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</x:row>
    <x:row r="65" ht="22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</x:row>
    <x:row r="66" ht="22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</x:row>
    <x:row r="67" ht="22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</x:row>
    <x:row r="68" ht="22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</x:row>
    <x:row r="69" ht="22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</x:row>
    <x:row r="70" ht="22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</x:row>
    <x:row r="71" ht="22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</x:row>
    <x:row r="72" ht="22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</x:row>
    <x:row r="73" ht="22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</x:row>
    <x:row r="75" ht="22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</x:row>
    <x:row r="76" ht="22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</x:row>
    <x:row r="77" ht="22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</x:row>
    <x:row r="80" ht="22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</x:row>
    <x:row r="81" ht="22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</x:row>
    <x:row r="82" ht="22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</x:row>
    <x:row r="83" ht="22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</x:row>
    <x:row r="84" ht="22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</x:row>
    <x:row r="85" ht="22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</x:row>
  </x:sheetData>
  <x:mergeCells>
    <x:mergeCell ref="B1:J1"/>
    <x:mergeCell ref="B3:J4"/>
    <x:mergeCell ref="F6:J11"/>
    <x:mergeCell ref="F13:J17"/>
  </x:mergeCells>
  <x:pageMargins left="0.7" right="0.7" top="0.75" bottom="0.75" header="0.3" footer="0.3"/>
  <x:drawing xmlns:r="http://schemas.openxmlformats.org/officeDocument/2006/relationships" r:id="Rdce23ba519054ec8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9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00" hidden="0" customWidth="1"/>
    <x:col min="8" max="8" width="85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</x:cols>
  <x:sheetData>
    <x:row r="1" ht="22" customHeight="1">
      <x:c r="A1" s="2"/>
      <x:c r="B1" s="5" t="str">
        <x:v>KAIRO · editable planning assumptions · 24 Oct 2026</x:v>
      </x:c>
      <x:c r="C1" s="5"/>
      <x:c r="D1" s="5"/>
      <x:c r="E1" s="5"/>
      <x:c r="F1" s="5"/>
      <x:c r="G1" s="5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22" customHeight="1">
      <x:c r="A2" s="2"/>
      <x:c r="B2" s="2" t="str">
        <x:v>Selected case</x:v>
      </x:c>
      <x:c r="C2" s="3" t="str">
        <x:f>Assumptions!B3</x:f>
        <x:v>Base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 ht="22" customHeight="1">
      <x:c r="A3" s="2"/>
      <x:c r="B3" s="2" t="str">
        <x:v>Base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 ht="22" customHeight="1">
      <x:c r="A4" s="2"/>
      <x:c r="B4" s="2" t="str">
        <x:v>Select Base / Downside / Upside above. All volumes, prices and labour are hypotheses.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 ht="22" customHeight="1">
      <x:c r="A5" s="2"/>
      <x:c r="B5" s="2" t="str">
        <x:v>Driver</x:v>
      </x:c>
      <x:c r="C5" s="2" t="str">
        <x:v>Active</x:v>
      </x:c>
      <x:c r="D5" s="2" t="str">
        <x:v>Base</x:v>
      </x:c>
      <x:c r="E5" s="2" t="str">
        <x:v>Downside</x:v>
      </x:c>
      <x:c r="F5" s="2" t="str">
        <x:v>Upside</x:v>
      </x:c>
      <x:c r="G5" s="2" t="str">
        <x:v>Units / evidence / boundary</x:v>
      </x:c>
      <x:c r="H5" s="2" t="str">
        <x:v>Source / checked 2026-10-24</x:v>
      </x:c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</x:row>
    <x:row r="6" ht="36" customHeight="1">
      <x:c r="A6" s="2"/>
      <x:c r="B6" s="2" t="str">
        <x:v>reach_start</x:v>
      </x:c>
      <x:c r="C6" s="12" t="n">
        <x:f>IF($B$3="Downside",E6,IF($B$3="Upside",F6,D6))</x:f>
        <x:v>250</x:v>
      </x:c>
      <x:c r="D6" s="13" t="n">
        <x:v>250</x:v>
      </x:c>
      <x:c r="E6" s="13" t="n">
        <x:v>120</x:v>
      </x:c>
      <x:c r="F6" s="13" t="n">
        <x:v>400</x:v>
      </x:c>
      <x:c r="G6" s="9" t="str">
        <x:v>Qualified people reached in month 1; unvalidated</x:v>
      </x:c>
      <x:c r="H6" s="2" t="str">
        <x:v>Planning assumption; replace after pilot measurement / supplier quote</x:v>
      </x:c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</x:row>
    <x:row r="7" ht="36" customHeight="1">
      <x:c r="A7" s="2"/>
      <x:c r="B7" s="2" t="str">
        <x:v>reach_growth</x:v>
      </x:c>
      <x:c r="C7" s="10" t="n">
        <x:f>IF($B$3="Downside",E7,IF($B$3="Upside",F7,D7))</x:f>
        <x:v>0.12</x:v>
      </x:c>
      <x:c r="D7" s="11" t="n">
        <x:v>0.12</x:v>
      </x:c>
      <x:c r="E7" s="11" t="n">
        <x:v>0.04</x:v>
      </x:c>
      <x:c r="F7" s="11" t="n">
        <x:v>0.16</x:v>
      </x:c>
      <x:c r="G7" s="9" t="str">
        <x:v>Monthly reach growth; not observed</x:v>
      </x:c>
      <x:c r="H7" s="2" t="str">
        <x:v>Planning assumption; replace after pilot measurement / supplier quote</x:v>
      </x:c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</x:row>
    <x:row r="8" ht="36" customHeight="1">
      <x:c r="A8" s="2"/>
      <x:c r="B8" s="2" t="str">
        <x:v>activation</x:v>
      </x:c>
      <x:c r="C8" s="10" t="n">
        <x:f>IF($B$3="Downside",E8,IF($B$3="Upside",F8,D8))</x:f>
        <x:v>0.25</x:v>
      </x:c>
      <x:c r="D8" s="11" t="n">
        <x:v>0.25</x:v>
      </x:c>
      <x:c r="E8" s="11" t="n">
        <x:v>0.15</x:v>
      </x:c>
      <x:c r="F8" s="11" t="n">
        <x:v>0.35</x:v>
      </x:c>
      <x:c r="G8" s="9" t="str">
        <x:v>Reach to activated user; not observed</x:v>
      </x:c>
      <x:c r="H8" s="2" t="str">
        <x:v>Planning assumption; replace after pilot measurement / supplier quote</x:v>
      </x:c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</x:row>
    <x:row r="9" ht="36" customHeight="1">
      <x:c r="A9" s="2"/>
      <x:c r="B9" s="2" t="str">
        <x:v>conversion</x:v>
      </x:c>
      <x:c r="C9" s="10" t="n">
        <x:f>IF($B$3="Downside",E9,IF($B$3="Upside",F9,D9))</x:f>
        <x:v>0.08</x:v>
      </x:c>
      <x:c r="D9" s="11" t="n">
        <x:v>0.08</x:v>
      </x:c>
      <x:c r="E9" s="11" t="n">
        <x:v>0.04</x:v>
      </x:c>
      <x:c r="F9" s="11" t="n">
        <x:v>0.12</x:v>
      </x:c>
      <x:c r="G9" s="9" t="str">
        <x:v>Activated to paid; not observed</x:v>
      </x:c>
      <x:c r="H9" s="2" t="str">
        <x:v>Planning assumption; replace after pilot measurement / supplier quote</x:v>
      </x:c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</x:row>
    <x:row r="10" ht="36" customHeight="1">
      <x:c r="A10" s="2"/>
      <x:c r="B10" s="2" t="str">
        <x:v>churn</x:v>
      </x:c>
      <x:c r="C10" s="10" t="n">
        <x:f>IF($B$3="Downside",E10,IF($B$3="Upside",F10,D10))</x:f>
        <x:v>0.07</x:v>
      </x:c>
      <x:c r="D10" s="11" t="n">
        <x:v>0.07</x:v>
      </x:c>
      <x:c r="E10" s="11" t="n">
        <x:v>0.12</x:v>
      </x:c>
      <x:c r="F10" s="11" t="n">
        <x:v>0.045</x:v>
      </x:c>
      <x:c r="G10" s="9" t="str">
        <x:v>Monthly paid account churn; not observed</x:v>
      </x:c>
      <x:c r="H10" s="2" t="str">
        <x:v>Planning assumption; replace after pilot measurement / supplier quote</x:v>
      </x:c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</x:row>
    <x:row r="11" ht="36" customHeight="1">
      <x:c r="A11" s="2"/>
      <x:c r="B11" s="2" t="str">
        <x:v>free_retention</x:v>
      </x:c>
      <x:c r="C11" s="10" t="n">
        <x:f>IF($B$3="Downside",E11,IF($B$3="Upside",F11,D11))</x:f>
        <x:v>0.35</x:v>
      </x:c>
      <x:c r="D11" s="11" t="n">
        <x:v>0.35</x:v>
      </x:c>
      <x:c r="E11" s="11" t="n">
        <x:v>0.25</x:v>
      </x:c>
      <x:c r="F11" s="11" t="n">
        <x:v>0.4</x:v>
      </x:c>
      <x:c r="G11" s="9" t="str">
        <x:v>Monthly free account retention; not observed</x:v>
      </x:c>
      <x:c r="H11" s="2" t="str">
        <x:v>Planning assumption; replace after pilot measurement / supplier quote</x:v>
      </x:c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</x:row>
    <x:row r="12" ht="36" customHeight="1">
      <x:c r="A12" s="2"/>
      <x:c r="B12" s="2" t="str">
        <x:v>first_contract</x:v>
      </x:c>
      <x:c r="C12" s="12" t="n">
        <x:f>IF($B$3="Downside",E12,IF($B$3="Upside",F12,D12))</x:f>
        <x:v>6</x:v>
      </x:c>
      <x:c r="D12" s="13" t="n">
        <x:v>6</x:v>
      </x:c>
      <x:c r="E12" s="13" t="n">
        <x:v>9</x:v>
      </x:c>
      <x:c r="F12" s="13" t="n">
        <x:v>4</x:v>
      </x:c>
      <x:c r="G12" s="9" t="str">
        <x:v>First hypothetical cohort starts; month index</x:v>
      </x:c>
      <x:c r="H12" s="2" t="str">
        <x:v>Planning assumption; replace after pilot measurement / supplier quote</x:v>
      </x:c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</x:row>
    <x:row r="13" ht="36" customHeight="1">
      <x:c r="A13" s="2"/>
      <x:c r="B13" s="2" t="str">
        <x:v>contract_interval</x:v>
      </x:c>
      <x:c r="C13" s="12" t="n">
        <x:f>IF($B$3="Downside",E13,IF($B$3="Upside",F13,D13))</x:f>
        <x:v>3</x:v>
      </x:c>
      <x:c r="D13" s="13" t="n">
        <x:v>3</x:v>
      </x:c>
      <x:c r="E13" s="13" t="n">
        <x:v>6</x:v>
      </x:c>
      <x:c r="F13" s="13" t="n">
        <x:v>2</x:v>
      </x:c>
      <x:c r="G13" s="9" t="str">
        <x:v>Months between hypothetical new contracts</x:v>
      </x:c>
      <x:c r="H13" s="2" t="str">
        <x:v>Planning assumption; replace after pilot measurement / supplier quote</x:v>
      </x:c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</x:row>
    <x:row r="14" ht="36" customHeight="1">
      <x:c r="A14" s="2"/>
      <x:c r="B14" s="2" t="str">
        <x:v>renewal</x:v>
      </x:c>
      <x:c r="C14" s="10" t="n">
        <x:f>IF($B$3="Downside",E14,IF($B$3="Upside",F14,D14))</x:f>
        <x:v>1</x:v>
      </x:c>
      <x:c r="D14" s="11" t="n">
        <x:v>1</x:v>
      </x:c>
      <x:c r="E14" s="11" t="n">
        <x:v>0.5</x:v>
      </x:c>
      <x:c r="F14" s="11" t="n">
        <x:v>1</x:v>
      </x:c>
      <x:c r="G14" s="9" t="str">
        <x:v>Expected annual seat renewal fraction</x:v>
      </x:c>
      <x:c r="H14" s="2" t="str">
        <x:v>Planning assumption; replace after pilot measurement / supplier quote</x:v>
      </x:c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</x:row>
    <x:row r="15" ht="36" customHeight="1">
      <x:c r="A15" s="2"/>
      <x:c r="B15" s="2" t="str">
        <x:v>payment_lag</x:v>
      </x:c>
      <x:c r="C15" s="12" t="n">
        <x:f>IF($B$3="Downside",E15,IF($B$3="Upside",F15,D15))</x:f>
        <x:v>1</x:v>
      </x:c>
      <x:c r="D15" s="13" t="n">
        <x:v>1</x:v>
      </x:c>
      <x:c r="E15" s="13" t="n">
        <x:v>3</x:v>
      </x:c>
      <x:c r="F15" s="13" t="n">
        <x:v>1</x:v>
      </x:c>
      <x:c r="G15" s="9" t="str">
        <x:v>Whole months after institution invoice</x:v>
      </x:c>
      <x:c r="H15" s="2" t="str">
        <x:v>Planning assumption; replace after pilot measurement / supplier quote</x:v>
      </x:c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</x:row>
    <x:row r="16" ht="36" customHeight="1">
      <x:c r="A16" s="2"/>
      <x:c r="B16" s="2" t="str">
        <x:v>seats</x:v>
      </x:c>
      <x:c r="C16" s="12" t="n">
        <x:f>IF($B$3="Downside",E16,IF($B$3="Upside",F16,D16))</x:f>
        <x:v>250</x:v>
      </x:c>
      <x:c r="D16" s="13" t="n">
        <x:v>250</x:v>
      </x:c>
      <x:c r="E16" s="13" t="n">
        <x:v>250</x:v>
      </x:c>
      <x:c r="F16" s="13" t="n">
        <x:v>250</x:v>
      </x:c>
      <x:c r="G16" s="9" t="str">
        <x:v>Seats per contract; proposed minimum</x:v>
      </x:c>
      <x:c r="H16" s="2" t="str">
        <x:v>Planning assumption; replace after pilot measurement / supplier quote</x:v>
      </x:c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</x:row>
    <x:row r="17" ht="36" customHeight="1">
      <x:c r="A17" s="2"/>
      <x:c r="B17" s="2" t="str">
        <x:v>seat_price</x:v>
      </x:c>
      <x:c r="C17" s="7" t="n">
        <x:f>IF($B$3="Downside",E17,IF($B$3="Upside",F17,D17))</x:f>
        <x:v>35</x:v>
      </x:c>
      <x:c r="D17" s="8" t="n">
        <x:v>35</x:v>
      </x:c>
      <x:c r="E17" s="8" t="n">
        <x:v>35</x:v>
      </x:c>
      <x:c r="F17" s="8" t="n">
        <x:v>35</x:v>
      </x:c>
      <x:c r="G17" s="9" t="str">
        <x:v>R per licensed seat/month excluding VAT; hypothesis</x:v>
      </x:c>
      <x:c r="H17" s="2" t="str">
        <x:v>Planning assumption; replace after pilot measurement / supplier quote</x:v>
      </x:c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</x:row>
    <x:row r="18" ht="36" customHeight="1">
      <x:c r="A18" s="2"/>
      <x:c r="B18" s="2" t="str">
        <x:v>onboarding_price</x:v>
      </x:c>
      <x:c r="C18" s="7" t="n">
        <x:f>IF($B$3="Downside",E18,IF($B$3="Upside",F18,D18))</x:f>
        <x:v>6000</x:v>
      </x:c>
      <x:c r="D18" s="8" t="n">
        <x:v>6000</x:v>
      </x:c>
      <x:c r="E18" s="8" t="n">
        <x:v>6000</x:v>
      </x:c>
      <x:c r="F18" s="8" t="n">
        <x:v>6000</x:v>
      </x:c>
      <x:c r="G18" s="9" t="str">
        <x:v>R once per new cohort excluding VAT; hypothesis</x:v>
      </x:c>
      <x:c r="H18" s="2" t="str">
        <x:v>Planning assumption; replace after pilot measurement / supplier quote</x:v>
      </x:c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</x:row>
    <x:row r="19" ht="36" customHeight="1">
      <x:c r="A19" s="2"/>
      <x:c r="B19" s="2" t="str">
        <x:v>fx</x:v>
      </x:c>
      <x:c r="C19" s="7" t="n">
        <x:f>IF($B$3="Downside",E19,IF($B$3="Upside",F19,D19))</x:f>
        <x:v>20</x:v>
      </x:c>
      <x:c r="D19" s="8" t="n">
        <x:v>20</x:v>
      </x:c>
      <x:c r="E19" s="8" t="n">
        <x:v>24</x:v>
      </x:c>
      <x:c r="F19" s="8" t="n">
        <x:v>18</x:v>
      </x:c>
      <x:c r="G19" s="9" t="str">
        <x:v>R/USD budgeting rate; not a spot quote</x:v>
      </x:c>
      <x:c r="H19" s="2" t="str">
        <x:v>Planning assumption; replace after pilot measurement / supplier quote</x:v>
      </x:c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</x:row>
    <x:row r="20" ht="36" customHeight="1">
      <x:c r="A20" s="2"/>
      <x:c r="B20" s="2" t="str">
        <x:v>lessons</x:v>
      </x:c>
      <x:c r="C20" s="7" t="n">
        <x:f>IF($B$3="Downside",E20,IF($B$3="Upside",F20,D20))</x:f>
        <x:v>4</x:v>
      </x:c>
      <x:c r="D20" s="8" t="n">
        <x:v>4</x:v>
      </x:c>
      <x:c r="E20" s="8" t="n">
        <x:v>6</x:v>
      </x:c>
      <x:c r="F20" s="8" t="n">
        <x:v>4</x:v>
      </x:c>
      <x:c r="G20" s="9" t="str">
        <x:v>Paid completed lesson/help bundles per month; hypothesis</x:v>
      </x:c>
      <x:c r="H20" s="2" t="str">
        <x:v>Planning assumption; replace after pilot measurement / supplier quote</x:v>
      </x:c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</x:row>
    <x:row r="21" ht="36" customHeight="1">
      <x:c r="A21" s="2"/>
      <x:c r="B21" s="2" t="str">
        <x:v>voice_chars</x:v>
      </x:c>
      <x:c r="C21" s="12" t="n">
        <x:f>IF($B$3="Downside",E21,IF($B$3="Upside",F21,D21))</x:f>
        <x:v>2500</x:v>
      </x:c>
      <x:c r="D21" s="13" t="n">
        <x:v>2500</x:v>
      </x:c>
      <x:c r="E21" s="13" t="n">
        <x:v>8000</x:v>
      </x:c>
      <x:c r="F21" s="13" t="n">
        <x:v>2500</x:v>
      </x:c>
      <x:c r="G21" s="9" t="str">
        <x:v>Premium characters per paid active month; cap hypothesis 8000</x:v>
      </x:c>
      <x:c r="H21" s="2" t="str">
        <x:v>Planning assumption; replace after pilot measurement / supplier quote</x:v>
      </x:c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</x:row>
    <x:row r="22" ht="36" customHeight="1">
      <x:c r="A22" s="2"/>
      <x:c r="B22" s="2" t="str">
        <x:v>inst_active</x:v>
      </x:c>
      <x:c r="C22" s="10" t="n">
        <x:f>IF($B$3="Downside",E22,IF($B$3="Upside",F22,D22))</x:f>
        <x:v>0.6</x:v>
      </x:c>
      <x:c r="D22" s="11" t="n">
        <x:v>0.6</x:v>
      </x:c>
      <x:c r="E22" s="11" t="n">
        <x:v>0.8</x:v>
      </x:c>
      <x:c r="F22" s="11" t="n">
        <x:v>0.65</x:v>
      </x:c>
      <x:c r="G22" s="9" t="str">
        <x:v>Monthly active fraction of licensed seats; assumption</x:v>
      </x:c>
      <x:c r="H22" s="2" t="str">
        <x:v>Planning assumption; replace after pilot measurement / supplier quote</x:v>
      </x:c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</x:row>
    <x:row r="23" ht="36" customHeight="1">
      <x:c r="A23" s="2"/>
      <x:c r="B23" s="2" t="str">
        <x:v>free_lessons</x:v>
      </x:c>
      <x:c r="C23" s="7" t="n">
        <x:f>IF($B$3="Downside",E23,IF($B$3="Upside",F23,D23))</x:f>
        <x:v>0.25</x:v>
      </x:c>
      <x:c r="D23" s="8" t="n">
        <x:v>0.25</x:v>
      </x:c>
      <x:c r="E23" s="8" t="n">
        <x:v>0.5</x:v>
      </x:c>
      <x:c r="F23" s="8" t="n">
        <x:v>0.25</x:v>
      </x:c>
      <x:c r="G23" s="9" t="str">
        <x:v>Cloud lesson bundles per free active month; quota hypothesis</x:v>
      </x:c>
      <x:c r="H23" s="2" t="str">
        <x:v>Planning assumption; replace after pilot measurement / supplier quote</x:v>
      </x:c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</x:row>
    <x:row r="24" ht="36" customHeight="1">
      <x:c r="A24" s="2"/>
      <x:c r="B24" s="2" t="str">
        <x:v>support_minutes</x:v>
      </x:c>
      <x:c r="C24" s="7" t="n">
        <x:f>IF($B$3="Downside",E24,IF($B$3="Upside",F24,D24))</x:f>
        <x:v>2</x:v>
      </x:c>
      <x:c r="D24" s="8" t="n">
        <x:v>2</x:v>
      </x:c>
      <x:c r="E24" s="8" t="n">
        <x:v>5</x:v>
      </x:c>
      <x:c r="F24" s="8" t="n">
        <x:v>2</x:v>
      </x:c>
      <x:c r="G24" s="9" t="str">
        <x:v>Support minutes per consumer paid month; assumption</x:v>
      </x:c>
      <x:c r="H24" s="2" t="str">
        <x:v>Planning assumption; replace after pilot measurement / supplier quote</x:v>
      </x:c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</x:row>
    <x:row r="25" ht="36" customHeight="1">
      <x:c r="A25" s="2"/>
      <x:c r="B25" s="2" t="str">
        <x:v>support_hour</x:v>
      </x:c>
      <x:c r="C25" s="7" t="n">
        <x:f>IF($B$3="Downside",E25,IF($B$3="Upside",F25,D25))</x:f>
        <x:v>120</x:v>
      </x:c>
      <x:c r="D25" s="8" t="n">
        <x:v>120</x:v>
      </x:c>
      <x:c r="E25" s="8" t="n">
        <x:v>120</x:v>
      </x:c>
      <x:c r="F25" s="8" t="n">
        <x:v>120</x:v>
      </x:c>
      <x:c r="G25" s="9" t="str">
        <x:v>R/hour fully loaded contractor support budget, not wage data</x:v>
      </x:c>
      <x:c r="H25" s="2" t="str">
        <x:v>Planning assumption; replace after pilot measurement / supplier quote</x:v>
      </x:c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</x:row>
    <x:row r="26" ht="36" customHeight="1">
      <x:c r="A26" s="2"/>
      <x:c r="B26" s="2" t="str">
        <x:v>retry_multiplier</x:v>
      </x:c>
      <x:c r="C26" s="7" t="n">
        <x:f>IF($B$3="Downside",E26,IF($B$3="Upside",F26,D26))</x:f>
        <x:v>1.1</x:v>
      </x:c>
      <x:c r="D26" s="8" t="n">
        <x:v>1.1</x:v>
      </x:c>
      <x:c r="E26" s="8" t="n">
        <x:v>1.5</x:v>
      </x:c>
      <x:c r="F26" s="8" t="n">
        <x:v>1.1</x:v>
      </x:c>
      <x:c r="G26" s="9" t="str">
        <x:v>Billable duplicate successful requests; not failed HTTP calls</x:v>
      </x:c>
      <x:c r="H26" s="2" t="str">
        <x:v>Planning assumption; replace after pilot measurement / supplier quote</x:v>
      </x:c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</x:row>
    <x:row r="27" ht="36" customHeight="1">
      <x:c r="A27" s="2"/>
      <x:c r="B27" s="2" t="str">
        <x:v>marketing</x:v>
      </x:c>
      <x:c r="C27" s="7" t="n">
        <x:f>IF($B$3="Downside",E27,IF($B$3="Upside",F27,D27))</x:f>
        <x:v>2500</x:v>
      </x:c>
      <x:c r="D27" s="8" t="n">
        <x:v>2500</x:v>
      </x:c>
      <x:c r="E27" s="8" t="n">
        <x:v>2500</x:v>
      </x:c>
      <x:c r="F27" s="8" t="n">
        <x:v>4000</x:v>
      </x:c>
      <x:c r="G27" s="9" t="str">
        <x:v>R/month separate acquisition budget; assumption</x:v>
      </x:c>
      <x:c r="H27" s="2" t="str">
        <x:v>Planning assumption; replace after pilot measurement / supplier quote</x:v>
      </x:c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</x:row>
    <x:row r="28" ht="36" customHeight="1">
      <x:c r="A28" s="2"/>
      <x:c r="B28" s="2" t="str">
        <x:v>sales_cost</x:v>
      </x:c>
      <x:c r="C28" s="7" t="n">
        <x:f>IF($B$3="Downside",E28,IF($B$3="Upside",F28,D28))</x:f>
        <x:v>8000</x:v>
      </x:c>
      <x:c r="D28" s="8" t="n">
        <x:v>8000</x:v>
      </x:c>
      <x:c r="E28" s="8" t="n">
        <x:v>10000</x:v>
      </x:c>
      <x:c r="F28" s="8" t="n">
        <x:v>8000</x:v>
      </x:c>
      <x:c r="G28" s="9" t="str">
        <x:v>R/new institution cohort; sales/procurement cash budget</x:v>
      </x:c>
      <x:c r="H28" s="2" t="str">
        <x:v>Planning assumption; replace after pilot measurement / supplier quote</x:v>
      </x:c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</x:row>
    <x:row r="29" ht="36" customHeight="1">
      <x:c r="A29" s="2"/>
      <x:c r="B29" s="2" t="str">
        <x:v>onboarding_cost</x:v>
      </x:c>
      <x:c r="C29" s="7" t="n">
        <x:f>IF($B$3="Downside",E29,IF($B$3="Upside",F29,D29))</x:f>
        <x:v>4000</x:v>
      </x:c>
      <x:c r="D29" s="8" t="n">
        <x:v>4000</x:v>
      </x:c>
      <x:c r="E29" s="8" t="n">
        <x:v>5000</x:v>
      </x:c>
      <x:c r="F29" s="8" t="n">
        <x:v>4000</x:v>
      </x:c>
      <x:c r="G29" s="9" t="str">
        <x:v>R/new cohort domain setup/review labour budget</x:v>
      </x:c>
      <x:c r="H29" s="2" t="str">
        <x:v>Planning assumption; replace after pilot measurement / supplier quote</x:v>
      </x:c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</x:row>
    <x:row r="30" ht="36" customHeight="1">
      <x:c r="A30" s="2"/>
      <x:c r="B30" s="2" t="str">
        <x:v>fixed_cash</x:v>
      </x:c>
      <x:c r="C30" s="7" t="n">
        <x:f>IF($B$3="Downside",E30,IF($B$3="Upside",F30,D30))</x:f>
        <x:v>15000</x:v>
      </x:c>
      <x:c r="D30" s="8" t="n">
        <x:v>15000</x:v>
      </x:c>
      <x:c r="E30" s="8" t="n">
        <x:v>15000</x:v>
      </x:c>
      <x:c r="F30" s="8" t="n">
        <x:v>22000</x:v>
      </x:c>
      <x:c r="G30" s="9" t="str">
        <x:v>R/month: QA 8000/12000, ops 4000/6000, security reserve 3000/4000</x:v>
      </x:c>
      <x:c r="H30" s="2" t="str">
        <x:v>Planning assumption; replace after pilot measurement / supplier quote</x:v>
      </x:c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</x:row>
    <x:row r="31" ht="36" customHeight="1">
      <x:c r="A31" s="2"/>
      <x:c r="B31" s="2" t="str">
        <x:v>founder_replacement</x:v>
      </x:c>
      <x:c r="C31" s="7" t="n">
        <x:f>IF($B$3="Downside",E31,IF($B$3="Upside",F31,D31))</x:f>
        <x:v>30000</x:v>
      </x:c>
      <x:c r="D31" s="8" t="n">
        <x:v>30000</x:v>
      </x:c>
      <x:c r="E31" s="8" t="n">
        <x:v>30000</x:v>
      </x:c>
      <x:c r="F31" s="8" t="n">
        <x:v>35000</x:v>
      </x:c>
      <x:c r="G31" s="9" t="str">
        <x:v>R/month economic replacement labour, not observed salary</x:v>
      </x:c>
      <x:c r="H31" s="2" t="str">
        <x:v>Planning assumption; replace after pilot measurement / supplier quote</x:v>
      </x:c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</x:row>
    <x:row r="32" ht="36" customHeight="1">
      <x:c r="A32" s="2"/>
      <x:c r="B32" s="2" t="str">
        <x:v>refund_rate</x:v>
      </x:c>
      <x:c r="C32" s="10" t="n">
        <x:f>IF($B$3="Downside",E32,IF($B$3="Upside",F32,D32))</x:f>
        <x:v>0.03</x:v>
      </x:c>
      <x:c r="D32" s="11" t="n">
        <x:v>0.03</x:v>
      </x:c>
      <x:c r="E32" s="11" t="n">
        <x:v>0.06</x:v>
      </x:c>
      <x:c r="F32" s="11" t="n">
        <x:v>0.03</x:v>
      </x:c>
      <x:c r="G32" s="9" t="str">
        <x:v>Consumer receipts refunded; no original fee rebate assumed</x:v>
      </x:c>
      <x:c r="H32" s="2" t="str">
        <x:v>Planning assumption; replace after pilot measurement / supplier quote</x:v>
      </x:c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</x:row>
    <x:row r="33" ht="36" customHeight="1">
      <x:c r="A33" s="2"/>
      <x:c r="B33" s="2" t="str">
        <x:v>initial_setup</x:v>
      </x:c>
      <x:c r="C33" s="7" t="n">
        <x:f>IF($B$3="Downside",E33,IF($B$3="Upside",F33,D33))</x:f>
        <x:v>25000</x:v>
      </x:c>
      <x:c r="D33" s="8" t="n">
        <x:v>25000</x:v>
      </x:c>
      <x:c r="E33" s="8" t="n">
        <x:v>25000</x:v>
      </x:c>
      <x:c r="F33" s="8" t="n">
        <x:v>35000</x:v>
      </x:c>
      <x:c r="G33" s="9" t="str">
        <x:v>R initial device/legal/setup budget; no credit assumed</x:v>
      </x:c>
      <x:c r="H33" s="2" t="str">
        <x:v>Planning assumption; replace after pilot measurement / supplier quote</x:v>
      </x:c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</x:row>
    <x:row r="34" ht="36" customHeight="1">
      <x:c r="A34" s="2"/>
      <x:c r="B34" s="2" t="str">
        <x:v>vat</x:v>
      </x:c>
      <x:c r="C34" s="10" t="n">
        <x:f>IF($B$3="Downside",E34,IF($B$3="Upside",F34,D34))</x:f>
        <x:v>0.15</x:v>
      </x:c>
      <x:c r="D34" s="11" t="n">
        <x:v>0.15</x:v>
      </x:c>
      <x:c r="E34" s="11" t="n">
        <x:v>0.15</x:v>
      </x:c>
      <x:c r="F34" s="11" t="n">
        <x:v>0.15</x:v>
      </x:c>
      <x:c r="G34" s="9" t="str">
        <x:v>SARS standard rate; conservative registered-vendor planning, not actual registration</x:v>
      </x:c>
      <x:c r="H34" s="2" t="str">
        <x:v>https://www.sars.gov.za/tax-rates/other-taxes/</x:v>
      </x:c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</x:row>
    <x:row r="35" ht="36" customHeight="1">
      <x:c r="A35" s="2"/>
      <x:c r="B35" s="2" t="str">
        <x:v>llm_bundle_usd</x:v>
      </x:c>
      <x:c r="C35" s="14" t="n">
        <x:f>IF($B$3="Downside",E35,IF($B$3="Upside",F35,D35))</x:f>
        <x:v>0.00932</x:v>
      </x:c>
      <x:c r="D35" s="15" t="n">
        <x:v>0.00932</x:v>
      </x:c>
      <x:c r="E35" s="15" t="n">
        <x:v>0.00932</x:v>
      </x:c>
      <x:c r="F35" s="15" t="n">
        <x:v>0.00932</x:v>
      </x:c>
      <x:c r="G35" s="9" t="str">
        <x:v>Standard Global token budget, dated 2026-10-24; see rates register</x:v>
      </x:c>
      <x:c r="H35" s="2" t="str">
        <x:v>https://cloud.google.com/gemini-enterprise-agent-platform/generative-ai/pricing</x:v>
      </x:c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</x:row>
    <x:row r="36" ht="36" customHeight="1">
      <x:c r="A36" s="2"/>
      <x:c r="B36" s="2" t="str">
        <x:v>tts_usd_million</x:v>
      </x:c>
      <x:c r="C36" s="7" t="n">
        <x:f>IF($B$3="Downside",E36,IF($B$3="Upside",F36,D36))</x:f>
        <x:v>30</x:v>
      </x:c>
      <x:c r="D36" s="8" t="n">
        <x:v>30</x:v>
      </x:c>
      <x:c r="E36" s="8" t="n">
        <x:v>30</x:v>
      </x:c>
      <x:c r="F36" s="8" t="n">
        <x:v>30</x:v>
      </x:c>
      <x:c r="G36" s="9" t="str">
        <x:v>Google Chirp 3 HD after allowance; no free credits assumed</x:v>
      </x:c>
      <x:c r="H36" s="2" t="str">
        <x:v>https://cloud.google.com/text-to-speech/pricing</x:v>
      </x:c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</x:row>
    <x:row r="37" ht="36" customHeight="1">
      <x:c r="A37" s="2"/>
      <x:c r="B37" s="2" t="str">
        <x:v>infra_paid_usd</x:v>
      </x:c>
      <x:c r="C37" s="7" t="n">
        <x:f>IF($B$3="Downside",E37,IF($B$3="Upside",F37,D37))</x:f>
        <x:v>0.1</x:v>
      </x:c>
      <x:c r="D37" s="8" t="n">
        <x:v>0.1</x:v>
      </x:c>
      <x:c r="E37" s="8" t="n">
        <x:v>0.15</x:v>
      </x:c>
      <x:c r="F37" s="8" t="n">
        <x:v>0.1</x:v>
      </x:c>
      <x:c r="G37" s="9" t="str">
        <x:v>PROVISIONAL all-in variable OCR/auth/storage/egress/DB/log reserve per active month</x:v>
      </x:c>
      <x:c r="H37" s="2" t="str">
        <x:v>Planning assumption; replace after pilot measurement / supplier quote</x:v>
      </x:c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</x:row>
    <x:row r="38" ht="36" customHeight="1">
      <x:c r="A38" s="2"/>
      <x:c r="B38" s="2" t="str">
        <x:v>infra_free_usd</x:v>
      </x:c>
      <x:c r="C38" s="7" t="n">
        <x:f>IF($B$3="Downside",E38,IF($B$3="Upside",F38,D38))</x:f>
        <x:v>0.03</x:v>
      </x:c>
      <x:c r="D38" s="8" t="n">
        <x:v>0.03</x:v>
      </x:c>
      <x:c r="E38" s="8" t="n">
        <x:v>0.05</x:v>
      </x:c>
      <x:c r="F38" s="8" t="n">
        <x:v>0.03</x:v>
      </x:c>
      <x:c r="G38" s="9" t="str">
        <x:v>PROVISIONAL free active user infrastructure reserve</x:v>
      </x:c>
      <x:c r="H38" s="2" t="str">
        <x:v>Planning assumption; replace after pilot measurement / supplier quote</x:v>
      </x:c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</x:row>
    <x:row r="39" ht="36" customHeight="1">
      <x:c r="A39" s="2"/>
      <x:c r="B39" s="2" t="str">
        <x:v>pay_pct</x:v>
      </x:c>
      <x:c r="C39" s="10" t="n">
        <x:f>IF($B$3="Downside",E39,IF($B$3="Upside",F39,D39))</x:f>
        <x:v>0.032</x:v>
      </x:c>
      <x:c r="D39" s="11" t="n">
        <x:v>0.032</x:v>
      </x:c>
      <x:c r="E39" s="11" t="n">
        <x:v>0.032</x:v>
      </x:c>
      <x:c r="F39" s="11" t="n">
        <x:v>0.032</x:v>
      </x:c>
      <x:c r="G39" s="9" t="str">
        <x:v>Payfast domestic card rate, excluding VAT</x:v>
      </x:c>
      <x:c r="H39" s="2" t="str">
        <x:v>https://payfast.io/fees/</x:v>
      </x:c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</x:row>
    <x:row r="40" ht="36" customHeight="1">
      <x:c r="A40" s="2"/>
      <x:c r="B40" s="2" t="str">
        <x:v>pay_fixed</x:v>
      </x:c>
      <x:c r="C40" s="7" t="n">
        <x:f>IF($B$3="Downside",E40,IF($B$3="Upside",F40,D40))</x:f>
        <x:v>2</x:v>
      </x:c>
      <x:c r="D40" s="8" t="n">
        <x:v>2</x:v>
      </x:c>
      <x:c r="E40" s="8" t="n">
        <x:v>2</x:v>
      </x:c>
      <x:c r="F40" s="8" t="n">
        <x:v>2</x:v>
      </x:c>
      <x:c r="G40" s="9" t="str">
        <x:v>R per successful consumer card charge, excluding VAT</x:v>
      </x:c>
      <x:c r="H40" s="2" t="str">
        <x:v>https://payfast.io/fees/</x:v>
      </x:c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</x:row>
    <x:row r="41" ht="36" customHeight="1">
      <x:c r="A41" s="2"/>
      <x:c r="B41" s="2" t="str">
        <x:v>refund_fee</x:v>
      </x:c>
      <x:c r="C41" s="7" t="n">
        <x:f>IF($B$3="Downside",E41,IF($B$3="Upside",F41,D41))</x:f>
        <x:v>2</x:v>
      </x:c>
      <x:c r="D41" s="8" t="n">
        <x:v>2</x:v>
      </x:c>
      <x:c r="E41" s="8" t="n">
        <x:v>2</x:v>
      </x:c>
      <x:c r="F41" s="8" t="n">
        <x:v>2</x:v>
      </x:c>
      <x:c r="G41" s="9" t="str">
        <x:v>R per refund, excluding VAT</x:v>
      </x:c>
      <x:c r="H41" s="2" t="str">
        <x:v>https://payfast.io/fees/</x:v>
      </x:c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</x:row>
    <x:row r="42" ht="36" customHeight="1">
      <x:c r="A42" s="2"/>
      <x:c r="B42" s="2" t="str">
        <x:v>payout_fee</x:v>
      </x:c>
      <x:c r="C42" s="7" t="n">
        <x:f>IF($B$3="Downside",E42,IF($B$3="Upside",F42,D42))</x:f>
        <x:v>8.7</x:v>
      </x:c>
      <x:c r="D42" s="8" t="n">
        <x:v>8.7</x:v>
      </x:c>
      <x:c r="E42" s="8" t="n">
        <x:v>8.7</x:v>
      </x:c>
      <x:c r="F42" s="8" t="n">
        <x:v>8.7</x:v>
      </x:c>
      <x:c r="G42" s="9" t="str">
        <x:v>R once/month settlement budget excluding VAT</x:v>
      </x:c>
      <x:c r="H42" s="2" t="str">
        <x:v>https://payfast.io/fees/</x:v>
      </x:c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</x:row>
    <x:row r="43" ht="36" customHeight="1">
      <x:c r="A43" s="2"/>
      <x:c r="B43" s="2" t="str">
        <x:v>price</x:v>
      </x:c>
      <x:c r="C43" s="7" t="n">
        <x:f>IF($B$3="Downside",E43,IF($B$3="Upside",F43,D43))</x:f>
        <x:v>49</x:v>
      </x:c>
      <x:c r="D43" s="8" t="n">
        <x:v>49</x:v>
      </x:c>
      <x:c r="E43" s="8" t="n">
        <x:v>49</x:v>
      </x:c>
      <x:c r="F43" s="8" t="n">
        <x:v>49</x:v>
      </x:c>
      <x:c r="G43" s="9" t="str">
        <x:v>R/month consumer VAT inclusive if registered; hypothesis</x:v>
      </x:c>
      <x:c r="H43" s="2" t="str">
        <x:v>Planning assumption; replace after pilot measurement / supplier quote</x:v>
      </x:c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</x:row>
    <x:row r="44" ht="36" customHeight="1">
      <x:c r="A44" s="2"/>
      <x:c r="B44" s="2" t="str">
        <x:v>cloud_tax_reserve</x:v>
      </x:c>
      <x:c r="C44" s="10" t="n">
        <x:f>IF($B$3="Downside",E44,IF($B$3="Upside",F44,D44))</x:f>
        <x:v>0.15</x:v>
      </x:c>
      <x:c r="D44" s="11" t="n">
        <x:v>0.15</x:v>
      </x:c>
      <x:c r="E44" s="11" t="n">
        <x:v>0.15</x:v>
      </x:c>
      <x:c r="F44" s="11" t="n">
        <x:v>0.15</x:v>
      </x:c>
      <x:c r="G44" s="9" t="str">
        <x:v>Provisional vendor/import tax reserve on USD services; no input credit reclaimed</x:v>
      </x:c>
      <x:c r="H44" s="2" t="str">
        <x:v>Planning assumption; replace after pilot measurement / supplier quote</x:v>
      </x:c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</x:row>
    <x:row r="45" ht="36" customHeight="1">
      <x:c r="A45" s="2"/>
      <x:c r="B45" s="2" t="str">
        <x:v>vat_registered</x:v>
      </x:c>
      <x:c r="C45" s="7" t="n">
        <x:f>IF($B$3="Downside",E45,IF($B$3="Upside",F45,D45))</x:f>
        <x:v>1</x:v>
      </x:c>
      <x:c r="D45" s="8" t="n">
        <x:v>1</x:v>
      </x:c>
      <x:c r="E45" s="8" t="n">
        <x:v>1</x:v>
      </x:c>
      <x:c r="F45" s="8" t="n">
        <x:v>1</x:v>
      </x:c>
      <x:c r="G45" s="9" t="str">
        <x:v>Planning vendor registration flag 1/0; NOT a statement of actual registration</x:v>
      </x:c>
      <x:c r="H45" s="2" t="str">
        <x:v>Planning assumption; replace after pilot measurement / supplier quote</x:v>
      </x:c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</x:row>
    <x:row r="46" ht="22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</x:row>
    <x:row r="47" ht="22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</x:row>
    <x:row r="48" ht="22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</x:row>
    <x:row r="49" ht="22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</x:row>
    <x:row r="50" ht="22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</x:row>
    <x:row r="51" ht="22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</x:row>
    <x:row r="52" ht="22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</x:row>
    <x:row r="53" ht="22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</x:row>
    <x:row r="54" ht="22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</x:row>
    <x:row r="55" ht="22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</x:row>
    <x:row r="56" ht="22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</x:row>
    <x:row r="57" ht="22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</x:row>
    <x:row r="58" ht="22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</x:row>
    <x:row r="59" ht="22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</x:row>
    <x:row r="60" ht="22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</x:row>
    <x:row r="61" ht="22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</x:row>
    <x:row r="62" ht="22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</x:row>
    <x:row r="63" ht="22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</x:row>
    <x:row r="64" ht="22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</x:row>
    <x:row r="65" ht="22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</x:row>
    <x:row r="66" ht="22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</x:row>
    <x:row r="67" ht="22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</x:row>
    <x:row r="68" ht="22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</x:row>
    <x:row r="69" ht="22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</x:row>
    <x:row r="70" ht="22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</x:row>
    <x:row r="71" ht="22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</x:row>
    <x:row r="72" ht="22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</x:row>
    <x:row r="73" ht="22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</x:row>
    <x:row r="75" ht="22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</x:row>
    <x:row r="76" ht="22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</x:row>
    <x:row r="77" ht="22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</x:row>
    <x:row r="80" ht="22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</x:row>
    <x:row r="81" ht="22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</x:row>
    <x:row r="82" ht="22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</x:row>
    <x:row r="83" ht="22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</x:row>
    <x:row r="84" ht="22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</x:row>
    <x:row r="85" ht="22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</x:row>
  </x:sheetData>
  <x:mergeCells>
    <x:mergeCell ref="B1:G1"/>
    <x:mergeCell ref="B4:G4"/>
  </x:mergeCells>
  <x:dataValidations count="1">
    <x:dataValidation type="list" sqref="B3">
      <x:formula1>"Base,Downside,Upside"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2" ySplit="5" topLeftCell="C6" activePane="bottomRight" state="frozen"/>
    </x:sheetView>
  </x:sheetViews>
  <x:sheetFormatPr defaultRowHeight="15"/>
  <x:cols>
    <x:col min="1" max="1" width="3" hidden="0" customWidth="1"/>
    <x:col min="2" max="2" width="39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</x:cols>
  <x:sheetData>
    <x:row r="1" ht="22" customHeight="1">
      <x:c r="A1" s="2"/>
      <x:c r="B1" s="5" t="str">
        <x:v>KAIRO · 24-month operating and cash forecast</x:v>
      </x:c>
      <x:c r="C1" s="5"/>
      <x:c r="D1" s="5"/>
      <x:c r="E1" s="5"/>
      <x:c r="F1" s="5"/>
      <x:c r="G1" s="5"/>
      <x:c r="H1" s="5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22" customHeight="1">
      <x:c r="A2" s="2"/>
      <x:c r="B2" s="2" t="str">
        <x:v>Selected case</x:v>
      </x:c>
      <x:c r="C2" s="3" t="str">
        <x:f>Assumptions!B3</x:f>
        <x:v>Base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 ht="22" customHeight="1">
      <x:c r="A5" s="2"/>
      <x:c r="B5" s="2"/>
      <x:c r="C5" s="2" t="str">
        <x:v>2026-11</x:v>
      </x:c>
      <x:c r="D5" s="2" t="str">
        <x:v>2026-12</x:v>
      </x:c>
      <x:c r="E5" s="2" t="str">
        <x:v>2027-01</x:v>
      </x:c>
      <x:c r="F5" s="2" t="str">
        <x:v>2027-02</x:v>
      </x:c>
      <x:c r="G5" s="2" t="str">
        <x:v>2027-03</x:v>
      </x:c>
      <x:c r="H5" s="2" t="str">
        <x:v>2027-04</x:v>
      </x:c>
      <x:c r="I5" s="2" t="str">
        <x:v>2027-05</x:v>
      </x:c>
      <x:c r="J5" s="2" t="str">
        <x:v>2027-06</x:v>
      </x:c>
      <x:c r="K5" s="2" t="str">
        <x:v>2027-07</x:v>
      </x:c>
      <x:c r="L5" s="2" t="str">
        <x:v>2027-08</x:v>
      </x:c>
      <x:c r="M5" s="2" t="str">
        <x:v>2027-09</x:v>
      </x:c>
      <x:c r="N5" s="2" t="str">
        <x:v>2027-10</x:v>
      </x:c>
      <x:c r="O5" s="2" t="str">
        <x:v>2027-11</x:v>
      </x:c>
      <x:c r="P5" s="2" t="str">
        <x:v>2027-12</x:v>
      </x:c>
      <x:c r="Q5" s="2" t="str">
        <x:v>2028-01</x:v>
      </x:c>
      <x:c r="R5" s="2" t="str">
        <x:v>2028-02</x:v>
      </x:c>
      <x:c r="S5" s="2" t="str">
        <x:v>2028-03</x:v>
      </x:c>
      <x:c r="T5" s="2" t="str">
        <x:v>2028-04</x:v>
      </x:c>
      <x:c r="U5" s="2" t="str">
        <x:v>2028-05</x:v>
      </x:c>
      <x:c r="V5" s="2" t="str">
        <x:v>2028-06</x:v>
      </x:c>
      <x:c r="W5" s="2" t="str">
        <x:v>2028-07</x:v>
      </x:c>
      <x:c r="X5" s="2" t="str">
        <x:v>2028-08</x:v>
      </x:c>
      <x:c r="Y5" s="2" t="str">
        <x:v>2028-09</x:v>
      </x:c>
      <x:c r="Z5" s="2" t="str">
        <x:v>2028-10</x:v>
      </x:c>
      <x:c r="AA5" s="2"/>
      <x:c r="AB5" s="2"/>
    </x:row>
    <x:row r="6" ht="22" customHeight="1">
      <x:c r="A6" s="2"/>
      <x:c r="B6" s="2" t="str">
        <x:v>Month index</x:v>
      </x:c>
      <x:c r="C6" s="2" t="n">
        <x:v>1</x:v>
      </x:c>
      <x:c r="D6" s="2" t="n">
        <x:v>2</x:v>
      </x:c>
      <x:c r="E6" s="2" t="n">
        <x:v>3</x:v>
      </x:c>
      <x:c r="F6" s="2" t="n">
        <x:v>4</x:v>
      </x:c>
      <x:c r="G6" s="2" t="n">
        <x:v>5</x:v>
      </x:c>
      <x:c r="H6" s="2" t="n">
        <x:v>6</x:v>
      </x:c>
      <x:c r="I6" s="2" t="n">
        <x:v>7</x:v>
      </x:c>
      <x:c r="J6" s="2" t="n">
        <x:v>8</x:v>
      </x:c>
      <x:c r="K6" s="2" t="n">
        <x:v>9</x:v>
      </x:c>
      <x:c r="L6" s="2" t="n">
        <x:v>10</x:v>
      </x:c>
      <x:c r="M6" s="2" t="n">
        <x:v>11</x:v>
      </x:c>
      <x:c r="N6" s="2" t="n">
        <x:v>12</x:v>
      </x:c>
      <x:c r="O6" s="2" t="n">
        <x:v>13</x:v>
      </x:c>
      <x:c r="P6" s="2" t="n">
        <x:v>14</x:v>
      </x:c>
      <x:c r="Q6" s="2" t="n">
        <x:v>15</x:v>
      </x:c>
      <x:c r="R6" s="2" t="n">
        <x:v>16</x:v>
      </x:c>
      <x:c r="S6" s="2" t="n">
        <x:v>17</x:v>
      </x:c>
      <x:c r="T6" s="2" t="n">
        <x:v>18</x:v>
      </x:c>
      <x:c r="U6" s="2" t="n">
        <x:v>19</x:v>
      </x:c>
      <x:c r="V6" s="2" t="n">
        <x:v>20</x:v>
      </x:c>
      <x:c r="W6" s="2" t="n">
        <x:v>21</x:v>
      </x:c>
      <x:c r="X6" s="2" t="n">
        <x:v>22</x:v>
      </x:c>
      <x:c r="Y6" s="2" t="n">
        <x:v>23</x:v>
      </x:c>
      <x:c r="Z6" s="2" t="n">
        <x:v>24</x:v>
      </x:c>
      <x:c r="AA6" s="2"/>
      <x:c r="AB6" s="2"/>
    </x:row>
    <x:row r="7" ht="22" customHeight="1">
      <x:c r="A7" s="2"/>
      <x:c r="B7" s="2" t="str">
        <x:v>Reach</x:v>
      </x:c>
      <x:c r="C7" s="20" t="n">
        <x:f>Assumptions!$C$6*(1+Assumptions!$C$7)^(C6-1)</x:f>
        <x:v>250</x:v>
      </x:c>
      <x:c r="D7" s="20" t="n">
        <x:f>Assumptions!$C$6*(1+Assumptions!$C$7)^(D6-1)</x:f>
        <x:v>280</x:v>
      </x:c>
      <x:c r="E7" s="20" t="n">
        <x:f>Assumptions!$C$6*(1+Assumptions!$C$7)^(E6-1)</x:f>
        <x:v>313.6</x:v>
      </x:c>
      <x:c r="F7" s="20" t="n">
        <x:f>Assumptions!$C$6*(1+Assumptions!$C$7)^(F6-1)</x:f>
        <x:v>351.2320000000001</x:v>
      </x:c>
      <x:c r="G7" s="20" t="n">
        <x:f>Assumptions!$C$6*(1+Assumptions!$C$7)^(G6-1)</x:f>
        <x:v>393.3798400000002</x:v>
      </x:c>
      <x:c r="H7" s="20" t="n">
        <x:f>Assumptions!$C$6*(1+Assumptions!$C$7)^(H6-1)</x:f>
        <x:v>440.5854208000002</x:v>
      </x:c>
      <x:c r="I7" s="20" t="n">
        <x:f>Assumptions!$C$6*(1+Assumptions!$C$7)^(I6-1)</x:f>
        <x:v>493.4556712960003</x:v>
      </x:c>
      <x:c r="J7" s="20" t="n">
        <x:f>Assumptions!$C$6*(1+Assumptions!$C$7)^(J6-1)</x:f>
        <x:v>552.6703518515203</x:v>
      </x:c>
      <x:c r="K7" s="20" t="n">
        <x:f>Assumptions!$C$6*(1+Assumptions!$C$7)^(K6-1)</x:f>
        <x:v>618.9907940737029</x:v>
      </x:c>
      <x:c r="L7" s="20" t="n">
        <x:f>Assumptions!$C$6*(1+Assumptions!$C$7)^(L6-1)</x:f>
        <x:v>693.2696893625473</x:v>
      </x:c>
      <x:c r="M7" s="20" t="n">
        <x:f>Assumptions!$C$6*(1+Assumptions!$C$7)^(M6-1)</x:f>
        <x:v>776.4620520860531</x:v>
      </x:c>
      <x:c r="N7" s="20" t="n">
        <x:f>Assumptions!$C$6*(1+Assumptions!$C$7)^(N6-1)</x:f>
        <x:v>869.6374983363795</x:v>
      </x:c>
      <x:c r="O7" s="20" t="n">
        <x:f>Assumptions!$C$6*(1+Assumptions!$C$7)^(O6-1)</x:f>
        <x:v>973.9939981367452</x:v>
      </x:c>
      <x:c r="P7" s="20" t="n">
        <x:f>Assumptions!$C$6*(1+Assumptions!$C$7)^(P6-1)</x:f>
        <x:v>1090.8732779131547</x:v>
      </x:c>
      <x:c r="Q7" s="20" t="n">
        <x:f>Assumptions!$C$6*(1+Assumptions!$C$7)^(Q6-1)</x:f>
        <x:v>1221.7780712627332</x:v>
      </x:c>
      <x:c r="R7" s="20" t="n">
        <x:f>Assumptions!$C$6*(1+Assumptions!$C$7)^(R6-1)</x:f>
        <x:v>1368.3914398142613</x:v>
      </x:c>
      <x:c r="S7" s="20" t="n">
        <x:f>Assumptions!$C$6*(1+Assumptions!$C$7)^(S6-1)</x:f>
        <x:v>1532.5984125919729</x:v>
      </x:c>
      <x:c r="T7" s="20" t="n">
        <x:f>Assumptions!$C$6*(1+Assumptions!$C$7)^(T6-1)</x:f>
        <x:v>1716.5102221030097</x:v>
      </x:c>
      <x:c r="U7" s="20" t="n">
        <x:f>Assumptions!$C$6*(1+Assumptions!$C$7)^(U6-1)</x:f>
        <x:v>1922.4914487553713</x:v>
      </x:c>
      <x:c r="V7" s="20" t="n">
        <x:f>Assumptions!$C$6*(1+Assumptions!$C$7)^(V6-1)</x:f>
        <x:v>2153.190422606016</x:v>
      </x:c>
      <x:c r="W7" s="20" t="n">
        <x:f>Assumptions!$C$6*(1+Assumptions!$C$7)^(W6-1)</x:f>
        <x:v>2411.573273318738</x:v>
      </x:c>
      <x:c r="X7" s="20" t="n">
        <x:f>Assumptions!$C$6*(1+Assumptions!$C$7)^(X6-1)</x:f>
        <x:v>2700.962066116987</x:v>
      </x:c>
      <x:c r="Y7" s="20" t="n">
        <x:f>Assumptions!$C$6*(1+Assumptions!$C$7)^(Y6-1)</x:f>
        <x:v>3025.077514051026</x:v>
      </x:c>
      <x:c r="Z7" s="20" t="n">
        <x:f>Assumptions!$C$6*(1+Assumptions!$C$7)^(Z6-1)</x:f>
        <x:v>3388.0868157371488</x:v>
      </x:c>
      <x:c r="AA7" s="2"/>
      <x:c r="AB7" s="2"/>
    </x:row>
    <x:row r="8" ht="22" customHeight="1">
      <x:c r="A8" s="2"/>
      <x:c r="B8" s="2" t="str">
        <x:v>Season factor</x:v>
      </x:c>
      <x:c r="C8" s="24" t="n">
        <x:v>1</x:v>
      </x:c>
      <x:c r="D8" s="24" t="n">
        <x:v>0.65</x:v>
      </x:c>
      <x:c r="E8" s="24" t="n">
        <x:v>0.65</x:v>
      </x:c>
      <x:c r="F8" s="24" t="n">
        <x:v>1</x:v>
      </x:c>
      <x:c r="G8" s="24" t="n">
        <x:v>1</x:v>
      </x:c>
      <x:c r="H8" s="24" t="n">
        <x:v>1</x:v>
      </x:c>
      <x:c r="I8" s="24" t="n">
        <x:v>1</x:v>
      </x:c>
      <x:c r="J8" s="24" t="n">
        <x:v>0.85</x:v>
      </x:c>
      <x:c r="K8" s="24" t="n">
        <x:v>0.85</x:v>
      </x:c>
      <x:c r="L8" s="24" t="n">
        <x:v>1</x:v>
      </x:c>
      <x:c r="M8" s="24" t="n">
        <x:v>1</x:v>
      </x:c>
      <x:c r="N8" s="24" t="n">
        <x:v>1</x:v>
      </x:c>
      <x:c r="O8" s="24" t="n">
        <x:v>1</x:v>
      </x:c>
      <x:c r="P8" s="24" t="n">
        <x:v>0.65</x:v>
      </x:c>
      <x:c r="Q8" s="24" t="n">
        <x:v>0.65</x:v>
      </x:c>
      <x:c r="R8" s="24" t="n">
        <x:v>1</x:v>
      </x:c>
      <x:c r="S8" s="24" t="n">
        <x:v>1</x:v>
      </x:c>
      <x:c r="T8" s="24" t="n">
        <x:v>1</x:v>
      </x:c>
      <x:c r="U8" s="24" t="n">
        <x:v>1</x:v>
      </x:c>
      <x:c r="V8" s="24" t="n">
        <x:v>0.85</x:v>
      </x:c>
      <x:c r="W8" s="24" t="n">
        <x:v>0.85</x:v>
      </x:c>
      <x:c r="X8" s="24" t="n">
        <x:v>1</x:v>
      </x:c>
      <x:c r="Y8" s="24" t="n">
        <x:v>1</x:v>
      </x:c>
      <x:c r="Z8" s="24" t="n">
        <x:v>1</x:v>
      </x:c>
      <x:c r="AA8" s="2"/>
      <x:c r="AB8" s="2"/>
    </x:row>
    <x:row r="9" ht="22" customHeight="1">
      <x:c r="A9" s="2"/>
      <x:c r="B9" s="2" t="str">
        <x:v>New paid before sponsorship</x:v>
      </x:c>
      <x:c r="C9" s="20" t="n">
        <x:f>C7*C8*Assumptions!$C$8*Assumptions!$C$9</x:f>
        <x:v>5</x:v>
      </x:c>
      <x:c r="D9" s="20" t="n">
        <x:f>D7*D8*Assumptions!$C$8*Assumptions!$C$9</x:f>
        <x:v>3.64</x:v>
      </x:c>
      <x:c r="E9" s="20" t="n">
        <x:f>E7*E8*Assumptions!$C$8*Assumptions!$C$9</x:f>
        <x:v>4.0768</x:v>
      </x:c>
      <x:c r="F9" s="20" t="n">
        <x:f>F7*F8*Assumptions!$C$8*Assumptions!$C$9</x:f>
        <x:v>7.0246400000000015</x:v>
      </x:c>
      <x:c r="G9" s="20" t="n">
        <x:f>G7*G8*Assumptions!$C$8*Assumptions!$C$9</x:f>
        <x:v>7.867596800000004</x:v>
      </x:c>
      <x:c r="H9" s="20" t="n">
        <x:f>H7*H8*Assumptions!$C$8*Assumptions!$C$9</x:f>
        <x:v>8.811708416000004</x:v>
      </x:c>
      <x:c r="I9" s="20" t="n">
        <x:f>I7*I8*Assumptions!$C$8*Assumptions!$C$9</x:f>
        <x:v>9.869113425920006</x:v>
      </x:c>
      <x:c r="J9" s="20" t="n">
        <x:f>J7*J8*Assumptions!$C$8*Assumptions!$C$9</x:f>
        <x:v>9.395395981475845</x:v>
      </x:c>
      <x:c r="K9" s="20" t="n">
        <x:f>K7*K8*Assumptions!$C$8*Assumptions!$C$9</x:f>
        <x:v>10.52284349925295</x:v>
      </x:c>
      <x:c r="L9" s="20" t="n">
        <x:f>L7*L8*Assumptions!$C$8*Assumptions!$C$9</x:f>
        <x:v>13.865393787250946</x:v>
      </x:c>
      <x:c r="M9" s="20" t="n">
        <x:f>M7*M8*Assumptions!$C$8*Assumptions!$C$9</x:f>
        <x:v>15.529241041721061</x:v>
      </x:c>
      <x:c r="N9" s="20" t="n">
        <x:f>N7*N8*Assumptions!$C$8*Assumptions!$C$9</x:f>
        <x:v>17.39274996672759</x:v>
      </x:c>
      <x:c r="O9" s="20" t="n">
        <x:f>O7*O8*Assumptions!$C$8*Assumptions!$C$9</x:f>
        <x:v>19.479879962734906</x:v>
      </x:c>
      <x:c r="P9" s="20" t="n">
        <x:f>P7*P8*Assumptions!$C$8*Assumptions!$C$9</x:f>
        <x:v>14.18135261287101</x:v>
      </x:c>
      <x:c r="Q9" s="20" t="n">
        <x:f>Q7*Q8*Assumptions!$C$8*Assumptions!$C$9</x:f>
        <x:v>15.883114926415534</x:v>
      </x:c>
      <x:c r="R9" s="20" t="n">
        <x:f>R7*R8*Assumptions!$C$8*Assumptions!$C$9</x:f>
        <x:v>27.367828796285227</x:v>
      </x:c>
      <x:c r="S9" s="20" t="n">
        <x:f>S7*S8*Assumptions!$C$8*Assumptions!$C$9</x:f>
        <x:v>30.65196825183946</x:v>
      </x:c>
      <x:c r="T9" s="20" t="n">
        <x:f>T7*T8*Assumptions!$C$8*Assumptions!$C$9</x:f>
        <x:v>34.33020444206019</x:v>
      </x:c>
      <x:c r="U9" s="20" t="n">
        <x:f>U7*U8*Assumptions!$C$8*Assumptions!$C$9</x:f>
        <x:v>38.44982897510743</x:v>
      </x:c>
      <x:c r="V9" s="20" t="n">
        <x:f>V7*V8*Assumptions!$C$8*Assumptions!$C$9</x:f>
        <x:v>36.60423718430227</x:v>
      </x:c>
      <x:c r="W9" s="20" t="n">
        <x:f>W7*W8*Assumptions!$C$8*Assumptions!$C$9</x:f>
        <x:v>40.99674564641854</x:v>
      </x:c>
      <x:c r="X9" s="20" t="n">
        <x:f>X7*X8*Assumptions!$C$8*Assumptions!$C$9</x:f>
        <x:v>54.01924132233974</x:v>
      </x:c>
      <x:c r="Y9" s="20" t="n">
        <x:f>Y7*Y8*Assumptions!$C$8*Assumptions!$C$9</x:f>
        <x:v>60.50155028102052</x:v>
      </x:c>
      <x:c r="Z9" s="20" t="n">
        <x:f>Z7*Z8*Assumptions!$C$8*Assumptions!$C$9</x:f>
        <x:v>67.76173631474298</x:v>
      </x:c>
      <x:c r="AA9" s="2"/>
      <x:c r="AB9" s="2"/>
    </x:row>
    <x:row r="10" ht="22" customHeight="1">
      <x:c r="A10" s="2"/>
      <x:c r="B10" s="2" t="str">
        <x:v>Retained paid</x:v>
      </x:c>
      <x:c r="C10" s="20" t="n">
        <x:f>0*(1-Assumptions!$C$10)</x:f>
        <x:v>0</x:v>
      </x:c>
      <x:c r="D10" s="20" t="n">
        <x:f>C12*(1-Assumptions!$C$10)</x:f>
        <x:v>4.6499999999999995</x:v>
      </x:c>
      <x:c r="E10" s="20" t="n">
        <x:f>D12*(1-Assumptions!$C$10)</x:f>
        <x:v>7.709699999999999</x:v>
      </x:c>
      <x:c r="F10" s="20" t="n">
        <x:f>E12*(1-Assumptions!$C$10)</x:f>
        <x:v>10.961445</x:v>
      </x:c>
      <x:c r="G10" s="20" t="n">
        <x:f>F12*(1-Assumptions!$C$10)</x:f>
        <x:v>16.72705905</x:v>
      </x:c>
      <x:c r="H10" s="20" t="n">
        <x:f>G12*(1-Assumptions!$C$10)</x:f>
        <x:v>22.873029940500004</x:v>
      </x:c>
      <x:c r="I10" s="20" t="n">
        <x:f>H12*(1-Assumptions!$C$10)</x:f>
        <x:v>0</x:v>
      </x:c>
      <x:c r="J10" s="20" t="n">
        <x:f>I12*(1-Assumptions!$C$10)</x:f>
        <x:v>9.178275486105605</x:v>
      </x:c>
      <x:c r="K10" s="20" t="n">
        <x:f>J12*(1-Assumptions!$C$10)</x:f>
        <x:v>17.273514464850745</x:v>
      </x:c>
      <x:c r="L10" s="20" t="n">
        <x:f>K12*(1-Assumptions!$C$10)</x:f>
        <x:v>0</x:v>
      </x:c>
      <x:c r="M10" s="20" t="n">
        <x:f>L12*(1-Assumptions!$C$10)</x:f>
        <x:v>12.89481622214338</x:v>
      </x:c>
      <x:c r="N10" s="20" t="n">
        <x:f>M12*(1-Assumptions!$C$10)</x:f>
        <x:v>26.43437325539393</x:v>
      </x:c>
      <x:c r="O10" s="20" t="n">
        <x:f>N12*(1-Assumptions!$C$10)</x:f>
        <x:v>5.884224596573008</x:v>
      </x:c>
      <x:c r="P10" s="20" t="n">
        <x:f>O12*(1-Assumptions!$C$10)</x:f>
        <x:v>23.588617240156356</x:v>
      </x:c>
      <x:c r="Q10" s="20" t="n">
        <x:f>P12*(1-Assumptions!$C$10)</x:f>
        <x:v>35.12607196331545</x:v>
      </x:c>
      <x:c r="R10" s="20" t="n">
        <x:f>Q12*(1-Assumptions!$C$10)</x:f>
        <x:v>12.563543807449815</x:v>
      </x:c>
      <x:c r="S10" s="20" t="n">
        <x:f>R12*(1-Assumptions!$C$10)</x:f>
        <x:v>37.13617652147359</x:v>
      </x:c>
      <x:c r="T10" s="20" t="n">
        <x:f>S12*(1-Assumptions!$C$10)</x:f>
        <x:v>63.04297463918113</x:v>
      </x:c>
      <x:c r="U10" s="20" t="n">
        <x:f>T12*(1-Assumptions!$C$10)</x:f>
        <x:v>55.682056545554424</x:v>
      </x:c>
      <x:c r="V10" s="20" t="n">
        <x:f>U12*(1-Assumptions!$C$10)</x:f>
        <x:v>87.54265353421552</x:v>
      </x:c>
      <x:c r="W10" s="20" t="n">
        <x:f>V12*(1-Assumptions!$C$10)</x:f>
        <x:v>115.45660836822154</x:v>
      </x:c>
      <x:c r="X10" s="20" t="n">
        <x:f>W12*(1-Assumptions!$C$10)</x:f>
        <x:v>110.62661923361526</x:v>
      </x:c>
      <x:c r="Y10" s="20" t="n">
        <x:f>X12*(1-Assumptions!$C$10)</x:f>
        <x:v>153.12065031703813</x:v>
      </x:c>
      <x:c r="Z10" s="20" t="n">
        <x:f>Y12*(1-Assumptions!$C$10)</x:f>
        <x:v>198.66864655619452</x:v>
      </x:c>
      <x:c r="AA10" s="2"/>
      <x:c r="AB10" s="2"/>
    </x:row>
    <x:row r="11" ht="22" customHeight="1">
      <x:c r="A11" s="2"/>
      <x:c r="B11" s="2" t="str">
        <x:v>Migrated to sponsored seats</x:v>
      </x:c>
      <x:c r="C11" s="20" t="n">
        <x:f>MIN(C10+C9,C14*Assumptions!$C$16*0.15)</x:f>
        <x:v>0</x:v>
      </x:c>
      <x:c r="D11" s="20" t="n">
        <x:f>MIN(D10+D9,D14*Assumptions!$C$16*0.15)</x:f>
        <x:v>0</x:v>
      </x:c>
      <x:c r="E11" s="20" t="n">
        <x:f>MIN(E10+E9,E14*Assumptions!$C$16*0.15)</x:f>
        <x:v>0</x:v>
      </x:c>
      <x:c r="F11" s="20" t="n">
        <x:f>MIN(F10+F9,F14*Assumptions!$C$16*0.15)</x:f>
        <x:v>0</x:v>
      </x:c>
      <x:c r="G11" s="20" t="n">
        <x:f>MIN(G10+G9,G14*Assumptions!$C$16*0.15)</x:f>
        <x:v>0</x:v>
      </x:c>
      <x:c r="H11" s="20" t="n">
        <x:f>MIN(H10+H9,H14*Assumptions!$C$16*0.15)</x:f>
        <x:v>31.684738356500006</x:v>
      </x:c>
      <x:c r="I11" s="20" t="n">
        <x:f>MIN(I10+I9,I14*Assumptions!$C$16*0.15)</x:f>
        <x:v>0</x:v>
      </x:c>
      <x:c r="J11" s="20" t="n">
        <x:f>MIN(J10+J9,J14*Assumptions!$C$16*0.15)</x:f>
        <x:v>0</x:v>
      </x:c>
      <x:c r="K11" s="20" t="n">
        <x:f>MIN(K10+K9,K14*Assumptions!$C$16*0.15)</x:f>
        <x:v>27.796357964103695</x:v>
      </x:c>
      <x:c r="L11" s="20" t="n">
        <x:f>MIN(L10+L9,L14*Assumptions!$C$16*0.15)</x:f>
        <x:v>0</x:v>
      </x:c>
      <x:c r="M11" s="20" t="n">
        <x:f>MIN(M10+M9,M14*Assumptions!$C$16*0.15)</x:f>
        <x:v>0</x:v>
      </x:c>
      <x:c r="N11" s="20" t="n">
        <x:f>MIN(N10+N9,N14*Assumptions!$C$16*0.15)</x:f>
        <x:v>37.5</x:v>
      </x:c>
      <x:c r="O11" s="20" t="n">
        <x:f>MIN(O10+O9,O14*Assumptions!$C$16*0.15)</x:f>
        <x:v>0</x:v>
      </x:c>
      <x:c r="P11" s="20" t="n">
        <x:f>MIN(P10+P9,P14*Assumptions!$C$16*0.15)</x:f>
        <x:v>0</x:v>
      </x:c>
      <x:c r="Q11" s="20" t="n">
        <x:f>MIN(Q10+Q9,Q14*Assumptions!$C$16*0.15)</x:f>
        <x:v>37.5</x:v>
      </x:c>
      <x:c r="R11" s="20" t="n">
        <x:f>MIN(R10+R9,R14*Assumptions!$C$16*0.15)</x:f>
        <x:v>0</x:v>
      </x:c>
      <x:c r="S11" s="20" t="n">
        <x:f>MIN(S10+S9,S14*Assumptions!$C$16*0.15)</x:f>
        <x:v>0</x:v>
      </x:c>
      <x:c r="T11" s="20" t="n">
        <x:f>MIN(T10+T9,T14*Assumptions!$C$16*0.15)</x:f>
        <x:v>37.5</x:v>
      </x:c>
      <x:c r="U11" s="20" t="n">
        <x:f>MIN(U10+U9,U14*Assumptions!$C$16*0.15)</x:f>
        <x:v>0</x:v>
      </x:c>
      <x:c r="V11" s="20" t="n">
        <x:f>MIN(V10+V9,V14*Assumptions!$C$16*0.15)</x:f>
        <x:v>0</x:v>
      </x:c>
      <x:c r="W11" s="20" t="n">
        <x:f>MIN(W10+W9,W14*Assumptions!$C$16*0.15)</x:f>
        <x:v>37.5</x:v>
      </x:c>
      <x:c r="X11" s="20" t="n">
        <x:f>MIN(X10+X9,X14*Assumptions!$C$16*0.15)</x:f>
        <x:v>0</x:v>
      </x:c>
      <x:c r="Y11" s="20" t="n">
        <x:f>MIN(Y10+Y9,Y14*Assumptions!$C$16*0.15)</x:f>
        <x:v>0</x:v>
      </x:c>
      <x:c r="Z11" s="20" t="n">
        <x:f>MIN(Z10+Z9,Z14*Assumptions!$C$16*0.15)</x:f>
        <x:v>37.5</x:v>
      </x:c>
      <x:c r="AA11" s="2"/>
      <x:c r="AB11" s="2"/>
    </x:row>
    <x:row r="12" ht="22" customHeight="1">
      <x:c r="A12" s="2"/>
      <x:c r="B12" s="2" t="str">
        <x:v>Closing consumer paid</x:v>
      </x:c>
      <x:c r="C12" s="21" t="n">
        <x:f>C10+C9-C11</x:f>
        <x:v>5</x:v>
      </x:c>
      <x:c r="D12" s="21" t="n">
        <x:f>D10+D9-D11</x:f>
        <x:v>8.29</x:v>
      </x:c>
      <x:c r="E12" s="21" t="n">
        <x:f>E10+E9-E11</x:f>
        <x:v>11.7865</x:v>
      </x:c>
      <x:c r="F12" s="21" t="n">
        <x:f>F10+F9-F11</x:f>
        <x:v>17.986085000000003</x:v>
      </x:c>
      <x:c r="G12" s="21" t="n">
        <x:f>G10+G9-G11</x:f>
        <x:v>24.594655850000006</x:v>
      </x:c>
      <x:c r="H12" s="21" t="n">
        <x:f>H10+H9-H11</x:f>
        <x:v>0</x:v>
      </x:c>
      <x:c r="I12" s="21" t="n">
        <x:f>I10+I9-I11</x:f>
        <x:v>9.869113425920006</x:v>
      </x:c>
      <x:c r="J12" s="21" t="n">
        <x:f>J10+J9-J11</x:f>
        <x:v>18.57367146758145</x:v>
      </x:c>
      <x:c r="K12" s="21" t="n">
        <x:f>K10+K9-K11</x:f>
        <x:v>0</x:v>
      </x:c>
      <x:c r="L12" s="21" t="n">
        <x:f>L10+L9-L11</x:f>
        <x:v>13.865393787250946</x:v>
      </x:c>
      <x:c r="M12" s="21" t="n">
        <x:f>M10+M9-M11</x:f>
        <x:v>28.42405726386444</x:v>
      </x:c>
      <x:c r="N12" s="21" t="n">
        <x:f>N10+N9-N11</x:f>
        <x:v>6.327123222121514</x:v>
      </x:c>
      <x:c r="O12" s="21" t="n">
        <x:f>O10+O9-O11</x:f>
        <x:v>25.36410455930791</x:v>
      </x:c>
      <x:c r="P12" s="21" t="n">
        <x:f>P10+P9-P11</x:f>
        <x:v>37.76996985302736</x:v>
      </x:c>
      <x:c r="Q12" s="21" t="n">
        <x:f>Q10+Q9-Q11</x:f>
        <x:v>13.509186889730984</x:v>
      </x:c>
      <x:c r="R12" s="21" t="n">
        <x:f>R10+R9-R11</x:f>
        <x:v>39.93137260373504</x:v>
      </x:c>
      <x:c r="S12" s="21" t="n">
        <x:f>S10+S9-S11</x:f>
        <x:v>67.78814477331305</x:v>
      </x:c>
      <x:c r="T12" s="21" t="n">
        <x:f>T10+T9-T11</x:f>
        <x:v>59.87317908124132</x:v>
      </x:c>
      <x:c r="U12" s="21" t="n">
        <x:f>U10+U9-U11</x:f>
        <x:v>94.13188552066185</x:v>
      </x:c>
      <x:c r="V12" s="21" t="n">
        <x:f>V10+V9-V11</x:f>
        <x:v>124.1468907185178</x:v>
      </x:c>
      <x:c r="W12" s="21" t="n">
        <x:f>W10+W9-W11</x:f>
        <x:v>118.95335401464007</x:v>
      </x:c>
      <x:c r="X12" s="21" t="n">
        <x:f>X10+X9-X11</x:f>
        <x:v>164.64586055595498</x:v>
      </x:c>
      <x:c r="Y12" s="21" t="n">
        <x:f>Y10+Y9-Y11</x:f>
        <x:v>213.62220059805864</x:v>
      </x:c>
      <x:c r="Z12" s="21" t="n">
        <x:f>Z10+Z9-Z11</x:f>
        <x:v>228.93038287093748</x:v>
      </x:c>
      <x:c r="AA12" s="2"/>
      <x:c r="AB12" s="2"/>
    </x:row>
    <x:row r="13" ht="22" customHeight="1">
      <x:c r="A13" s="2"/>
      <x:c r="B13" s="2" t="str">
        <x:v>Closing free active</x:v>
      </x:c>
      <x:c r="C13" s="20" t="n">
        <x:f>MAX(0,0*Assumptions!$C$11+C7*C8*Assumptions!$C$8*(1-Assumptions!$C$9)-C14*Assumptions!$C$16*0.5)</x:f>
        <x:v>57.5</x:v>
      </x:c>
      <x:c r="D13" s="20" t="n">
        <x:f>MAX(0,C13*Assumptions!$C$11+D7*D8*Assumptions!$C$8*(1-Assumptions!$C$9)-D14*Assumptions!$C$16*0.5)</x:f>
        <x:v>61.985</x:v>
      </x:c>
      <x:c r="E13" s="20" t="n">
        <x:f>MAX(0,D13*Assumptions!$C$11+E7*E8*Assumptions!$C$8*(1-Assumptions!$C$9)-E14*Assumptions!$C$16*0.5)</x:f>
        <x:v>68.57795000000002</x:v>
      </x:c>
      <x:c r="F13" s="20" t="n">
        <x:f>MAX(0,E13*Assumptions!$C$11+F7*F8*Assumptions!$C$8*(1-Assumptions!$C$9)-F14*Assumptions!$C$16*0.5)</x:f>
        <x:v>104.78564250000002</x:v>
      </x:c>
      <x:c r="G13" s="20" t="n">
        <x:f>MAX(0,F13*Assumptions!$C$11+G7*G8*Assumptions!$C$8*(1-Assumptions!$C$9)-G14*Assumptions!$C$16*0.5)</x:f>
        <x:v>127.15233807500005</x:v>
      </x:c>
      <x:c r="H13" s="20" t="n">
        <x:f>MAX(0,G13*Assumptions!$C$11+H7*H8*Assumptions!$C$8*(1-Assumptions!$C$9)-H14*Assumptions!$C$16*0.5)</x:f>
        <x:v>20.837965110250053</x:v>
      </x:c>
      <x:c r="I13" s="20" t="n">
        <x:f>MAX(0,H13*Assumptions!$C$11+I7*I8*Assumptions!$C$8*(1-Assumptions!$C$9)-I14*Assumptions!$C$16*0.5)</x:f>
        <x:v>120.78809218666758</x:v>
      </x:c>
      <x:c r="J13" s="20" t="n">
        <x:f>MAX(0,I13*Assumptions!$C$11+J7*J8*Assumptions!$C$8*(1-Assumptions!$C$9)-J14*Assumptions!$C$16*0.5)</x:f>
        <x:v>150.32288605230588</x:v>
      </x:c>
      <x:c r="K13" s="20" t="n">
        <x:f>MAX(0,J13*Assumptions!$C$11+K7*K8*Assumptions!$C$8*(1-Assumptions!$C$9)-K14*Assumptions!$C$16*0.5)</x:f>
        <x:v>48.62571035971598</x:v>
      </x:c>
      <x:c r="L13" s="20" t="n">
        <x:f>MAX(0,K13*Assumptions!$C$11+L7*L8*Assumptions!$C$8*(1-Assumptions!$C$9)-L14*Assumptions!$C$16*0.5)</x:f>
        <x:v>176.47102717928647</x:v>
      </x:c>
      <x:c r="M13" s="20" t="n">
        <x:f>MAX(0,L13*Assumptions!$C$11+M7*M8*Assumptions!$C$8*(1-Assumptions!$C$9)-M14*Assumptions!$C$16*0.5)</x:f>
        <x:v>240.35113149254246</x:v>
      </x:c>
      <x:c r="N13" s="20" t="n">
        <x:f>MAX(0,M13*Assumptions!$C$11+N7*N8*Assumptions!$C$8*(1-Assumptions!$C$9)-N14*Assumptions!$C$16*0.5)</x:f>
        <x:v>159.13952063975717</x:v>
      </x:c>
      <x:c r="O13" s="20" t="n">
        <x:f>MAX(0,N13*Assumptions!$C$11+O7*O8*Assumptions!$C$8*(1-Assumptions!$C$9)-O14*Assumptions!$C$16*0.5)</x:f>
        <x:v>279.7174517953664</x:v>
      </x:c>
      <x:c r="P13" s="20" t="n">
        <x:f>MAX(0,O13*Assumptions!$C$11+P7*P8*Assumptions!$C$8*(1-Assumptions!$C$9)-P14*Assumptions!$C$16*0.5)</x:f>
        <x:v>260.98666317639487</x:v>
      </x:c>
      <x:c r="Q13" s="20" t="n">
        <x:f>MAX(0,P13*Assumptions!$C$11+Q7*Q8*Assumptions!$C$8*(1-Assumptions!$C$9)-Q14*Assumptions!$C$16*0.5)</x:f>
        <x:v>149.00115376551685</x:v>
      </x:c>
      <x:c r="R13" s="20" t="n">
        <x:f>MAX(0,Q13*Assumptions!$C$11+R7*R8*Assumptions!$C$8*(1-Assumptions!$C$9)-R14*Assumptions!$C$16*0.5)</x:f>
        <x:v>366.880434975211</x:v>
      </x:c>
      <x:c r="S13" s="20" t="n">
        <x:f>MAX(0,R13*Assumptions!$C$11+S7*S8*Assumptions!$C$8*(1-Assumptions!$C$9)-S14*Assumptions!$C$16*0.5)</x:f>
        <x:v>480.90578713747766</x:v>
      </x:c>
      <x:c r="T13" s="20" t="n">
        <x:f>MAX(0,S13*Assumptions!$C$11+T7*T8*Assumptions!$C$8*(1-Assumptions!$C$9)-T14*Assumptions!$C$16*0.5)</x:f>
        <x:v>438.11437658180944</x:v>
      </x:c>
      <x:c r="U13" s="20" t="n">
        <x:f>MAX(0,T13*Assumptions!$C$11+U7*U8*Assumptions!$C$8*(1-Assumptions!$C$9)-U14*Assumptions!$C$16*0.5)</x:f>
        <x:v>595.5130650173687</x:v>
      </x:c>
      <x:c r="V13" s="20" t="n">
        <x:f>MAX(0,U13*Assumptions!$C$11+V7*V8*Assumptions!$C$8*(1-Assumptions!$C$9)-V14*Assumptions!$C$16*0.5)</x:f>
        <x:v>629.3783003755552</x:v>
      </x:c>
      <x:c r="W13" s="20" t="n">
        <x:f>MAX(0,V13*Assumptions!$C$11+W7*W8*Assumptions!$C$8*(1-Assumptions!$C$9)-W14*Assumptions!$C$16*0.5)</x:f>
        <x:v>566.7449800652576</x:v>
      </x:c>
      <x:c r="X13" s="20" t="n">
        <x:f>MAX(0,W13*Assumptions!$C$11+X7*X8*Assumptions!$C$8*(1-Assumptions!$C$9)-X14*Assumptions!$C$16*0.5)</x:f>
        <x:v>819.5820182297472</x:v>
      </x:c>
      <x:c r="Y13" s="20" t="n">
        <x:f>MAX(0,X13*Assumptions!$C$11+Y7*Y8*Assumptions!$C$8*(1-Assumptions!$C$9)-Y14*Assumptions!$C$16*0.5)</x:f>
        <x:v>982.6215346121475</x:v>
      </x:c>
      <x:c r="Z13" s="20" t="n">
        <x:f>MAX(0,Y13*Assumptions!$C$11+Z7*Z8*Assumptions!$C$8*(1-Assumptions!$C$9)-Z14*Assumptions!$C$16*0.5)</x:f>
        <x:v>998.1775047337958</x:v>
      </x:c>
      <x:c r="AA13" s="2"/>
      <x:c r="AB13" s="2"/>
    </x:row>
    <x:row r="14" ht="22" customHeight="1">
      <x:c r="A14" s="2"/>
      <x:c r="B14" s="2" t="str">
        <x:v>New cohort contracts</x:v>
      </x:c>
      <x:c r="C14" s="20" t="n">
        <x:f>IF(AND(C6&gt;=Assumptions!$C$12,MOD(C6-Assumptions!$C$12,Assumptions!$C$13)=0),1,0)</x:f>
        <x:v>0</x:v>
      </x:c>
      <x:c r="D14" s="20" t="n">
        <x:f>IF(AND(D6&gt;=Assumptions!$C$12,MOD(D6-Assumptions!$C$12,Assumptions!$C$13)=0),1,0)</x:f>
        <x:v>0</x:v>
      </x:c>
      <x:c r="E14" s="20" t="n">
        <x:f>IF(AND(E6&gt;=Assumptions!$C$12,MOD(E6-Assumptions!$C$12,Assumptions!$C$13)=0),1,0)</x:f>
        <x:v>0</x:v>
      </x:c>
      <x:c r="F14" s="20" t="n">
        <x:f>IF(AND(F6&gt;=Assumptions!$C$12,MOD(F6-Assumptions!$C$12,Assumptions!$C$13)=0),1,0)</x:f>
        <x:v>0</x:v>
      </x:c>
      <x:c r="G14" s="20" t="n">
        <x:f>IF(AND(G6&gt;=Assumptions!$C$12,MOD(G6-Assumptions!$C$12,Assumptions!$C$13)=0),1,0)</x:f>
        <x:v>0</x:v>
      </x:c>
      <x:c r="H14" s="20" t="n">
        <x:f>IF(AND(H6&gt;=Assumptions!$C$12,MOD(H6-Assumptions!$C$12,Assumptions!$C$13)=0),1,0)</x:f>
        <x:v>1</x:v>
      </x:c>
      <x:c r="I14" s="20" t="n">
        <x:f>IF(AND(I6&gt;=Assumptions!$C$12,MOD(I6-Assumptions!$C$12,Assumptions!$C$13)=0),1,0)</x:f>
        <x:v>0</x:v>
      </x:c>
      <x:c r="J14" s="20" t="n">
        <x:f>IF(AND(J6&gt;=Assumptions!$C$12,MOD(J6-Assumptions!$C$12,Assumptions!$C$13)=0),1,0)</x:f>
        <x:v>0</x:v>
      </x:c>
      <x:c r="K14" s="20" t="n">
        <x:f>IF(AND(K6&gt;=Assumptions!$C$12,MOD(K6-Assumptions!$C$12,Assumptions!$C$13)=0),1,0)</x:f>
        <x:v>1</x:v>
      </x:c>
      <x:c r="L14" s="20" t="n">
        <x:f>IF(AND(L6&gt;=Assumptions!$C$12,MOD(L6-Assumptions!$C$12,Assumptions!$C$13)=0),1,0)</x:f>
        <x:v>0</x:v>
      </x:c>
      <x:c r="M14" s="20" t="n">
        <x:f>IF(AND(M6&gt;=Assumptions!$C$12,MOD(M6-Assumptions!$C$12,Assumptions!$C$13)=0),1,0)</x:f>
        <x:v>0</x:v>
      </x:c>
      <x:c r="N14" s="20" t="n">
        <x:f>IF(AND(N6&gt;=Assumptions!$C$12,MOD(N6-Assumptions!$C$12,Assumptions!$C$13)=0),1,0)</x:f>
        <x:v>1</x:v>
      </x:c>
      <x:c r="O14" s="20" t="n">
        <x:f>IF(AND(O6&gt;=Assumptions!$C$12,MOD(O6-Assumptions!$C$12,Assumptions!$C$13)=0),1,0)</x:f>
        <x:v>0</x:v>
      </x:c>
      <x:c r="P14" s="20" t="n">
        <x:f>IF(AND(P6&gt;=Assumptions!$C$12,MOD(P6-Assumptions!$C$12,Assumptions!$C$13)=0),1,0)</x:f>
        <x:v>0</x:v>
      </x:c>
      <x:c r="Q14" s="20" t="n">
        <x:f>IF(AND(Q6&gt;=Assumptions!$C$12,MOD(Q6-Assumptions!$C$12,Assumptions!$C$13)=0),1,0)</x:f>
        <x:v>1</x:v>
      </x:c>
      <x:c r="R14" s="20" t="n">
        <x:f>IF(AND(R6&gt;=Assumptions!$C$12,MOD(R6-Assumptions!$C$12,Assumptions!$C$13)=0),1,0)</x:f>
        <x:v>0</x:v>
      </x:c>
      <x:c r="S14" s="20" t="n">
        <x:f>IF(AND(S6&gt;=Assumptions!$C$12,MOD(S6-Assumptions!$C$12,Assumptions!$C$13)=0),1,0)</x:f>
        <x:v>0</x:v>
      </x:c>
      <x:c r="T14" s="20" t="n">
        <x:f>IF(AND(T6&gt;=Assumptions!$C$12,MOD(T6-Assumptions!$C$12,Assumptions!$C$13)=0),1,0)</x:f>
        <x:v>1</x:v>
      </x:c>
      <x:c r="U14" s="20" t="n">
        <x:f>IF(AND(U6&gt;=Assumptions!$C$12,MOD(U6-Assumptions!$C$12,Assumptions!$C$13)=0),1,0)</x:f>
        <x:v>0</x:v>
      </x:c>
      <x:c r="V14" s="20" t="n">
        <x:f>IF(AND(V6&gt;=Assumptions!$C$12,MOD(V6-Assumptions!$C$12,Assumptions!$C$13)=0),1,0)</x:f>
        <x:v>0</x:v>
      </x:c>
      <x:c r="W14" s="20" t="n">
        <x:f>IF(AND(W6&gt;=Assumptions!$C$12,MOD(W6-Assumptions!$C$12,Assumptions!$C$13)=0),1,0)</x:f>
        <x:v>1</x:v>
      </x:c>
      <x:c r="X14" s="20" t="n">
        <x:f>IF(AND(X6&gt;=Assumptions!$C$12,MOD(X6-Assumptions!$C$12,Assumptions!$C$13)=0),1,0)</x:f>
        <x:v>0</x:v>
      </x:c>
      <x:c r="Y14" s="20" t="n">
        <x:f>IF(AND(Y6&gt;=Assumptions!$C$12,MOD(Y6-Assumptions!$C$12,Assumptions!$C$13)=0),1,0)</x:f>
        <x:v>0</x:v>
      </x:c>
      <x:c r="Z14" s="20" t="n">
        <x:f>IF(AND(Z6&gt;=Assumptions!$C$12,MOD(Z6-Assumptions!$C$12,Assumptions!$C$13)=0),1,0)</x:f>
        <x:v>1</x:v>
      </x:c>
      <x:c r="AA14" s="2"/>
      <x:c r="AB14" s="2"/>
    </x:row>
    <x:row r="15" ht="22" customHeight="1">
      <x:c r="A15" s="2"/>
      <x:c r="B15" s="2" t="str">
        <x:v>Expiring cohort contracts</x:v>
      </x:c>
      <x:c r="C15" s="21" t="n">
        <x:f>0</x:f>
        <x:v>0</x:v>
      </x:c>
      <x:c r="D15" s="21" t="n">
        <x:f>0</x:f>
        <x:v>0</x:v>
      </x:c>
      <x:c r="E15" s="21" t="n">
        <x:f>0</x:f>
        <x:v>0</x:v>
      </x:c>
      <x:c r="F15" s="21" t="n">
        <x:f>0</x:f>
        <x:v>0</x:v>
      </x:c>
      <x:c r="G15" s="21" t="n">
        <x:f>0</x:f>
        <x:v>0</x:v>
      </x:c>
      <x:c r="H15" s="21" t="n">
        <x:f>0</x:f>
        <x:v>0</x:v>
      </x:c>
      <x:c r="I15" s="21" t="n">
        <x:f>0</x:f>
        <x:v>0</x:v>
      </x:c>
      <x:c r="J15" s="21" t="n">
        <x:f>0</x:f>
        <x:v>0</x:v>
      </x:c>
      <x:c r="K15" s="21" t="n">
        <x:f>0</x:f>
        <x:v>0</x:v>
      </x:c>
      <x:c r="L15" s="21" t="n">
        <x:f>0</x:f>
        <x:v>0</x:v>
      </x:c>
      <x:c r="M15" s="21" t="n">
        <x:f>0</x:f>
        <x:v>0</x:v>
      </x:c>
      <x:c r="N15" s="21" t="n">
        <x:f>0</x:f>
        <x:v>0</x:v>
      </x:c>
      <x:c r="O15" s="21" t="n">
        <x:f>C14</x:f>
        <x:v>0</x:v>
      </x:c>
      <x:c r="P15" s="21" t="n">
        <x:f>D14</x:f>
        <x:v>0</x:v>
      </x:c>
      <x:c r="Q15" s="21" t="n">
        <x:f>E14</x:f>
        <x:v>0</x:v>
      </x:c>
      <x:c r="R15" s="21" t="n">
        <x:f>F14</x:f>
        <x:v>0</x:v>
      </x:c>
      <x:c r="S15" s="21" t="n">
        <x:f>G14</x:f>
        <x:v>0</x:v>
      </x:c>
      <x:c r="T15" s="21" t="n">
        <x:f>H14</x:f>
        <x:v>1</x:v>
      </x:c>
      <x:c r="U15" s="21" t="n">
        <x:f>I14</x:f>
        <x:v>0</x:v>
      </x:c>
      <x:c r="V15" s="21" t="n">
        <x:f>J14</x:f>
        <x:v>0</x:v>
      </x:c>
      <x:c r="W15" s="21" t="n">
        <x:f>K14</x:f>
        <x:v>1</x:v>
      </x:c>
      <x:c r="X15" s="21" t="n">
        <x:f>L14</x:f>
        <x:v>0</x:v>
      </x:c>
      <x:c r="Y15" s="21" t="n">
        <x:f>M14</x:f>
        <x:v>0</x:v>
      </x:c>
      <x:c r="Z15" s="21" t="n">
        <x:f>N14</x:f>
        <x:v>1</x:v>
      </x:c>
      <x:c r="AA15" s="2"/>
      <x:c r="AB15" s="2"/>
    </x:row>
    <x:row r="16" ht="22" customHeight="1">
      <x:c r="A16" s="2"/>
      <x:c r="B16" s="2" t="str">
        <x:v>Renewed cohort contracts</x:v>
      </x:c>
      <x:c r="C16" s="20" t="n">
        <x:f>C15*Assumptions!$C$14</x:f>
        <x:v>0</x:v>
      </x:c>
      <x:c r="D16" s="20" t="n">
        <x:f>D15*Assumptions!$C$14</x:f>
        <x:v>0</x:v>
      </x:c>
      <x:c r="E16" s="20" t="n">
        <x:f>E15*Assumptions!$C$14</x:f>
        <x:v>0</x:v>
      </x:c>
      <x:c r="F16" s="20" t="n">
        <x:f>F15*Assumptions!$C$14</x:f>
        <x:v>0</x:v>
      </x:c>
      <x:c r="G16" s="20" t="n">
        <x:f>G15*Assumptions!$C$14</x:f>
        <x:v>0</x:v>
      </x:c>
      <x:c r="H16" s="20" t="n">
        <x:f>H15*Assumptions!$C$14</x:f>
        <x:v>0</x:v>
      </x:c>
      <x:c r="I16" s="20" t="n">
        <x:f>I15*Assumptions!$C$14</x:f>
        <x:v>0</x:v>
      </x:c>
      <x:c r="J16" s="20" t="n">
        <x:f>J15*Assumptions!$C$14</x:f>
        <x:v>0</x:v>
      </x:c>
      <x:c r="K16" s="20" t="n">
        <x:f>K15*Assumptions!$C$14</x:f>
        <x:v>0</x:v>
      </x:c>
      <x:c r="L16" s="20" t="n">
        <x:f>L15*Assumptions!$C$14</x:f>
        <x:v>0</x:v>
      </x:c>
      <x:c r="M16" s="20" t="n">
        <x:f>M15*Assumptions!$C$14</x:f>
        <x:v>0</x:v>
      </x:c>
      <x:c r="N16" s="20" t="n">
        <x:f>N15*Assumptions!$C$14</x:f>
        <x:v>0</x:v>
      </x:c>
      <x:c r="O16" s="20" t="n">
        <x:f>O15*Assumptions!$C$14</x:f>
        <x:v>0</x:v>
      </x:c>
      <x:c r="P16" s="20" t="n">
        <x:f>P15*Assumptions!$C$14</x:f>
        <x:v>0</x:v>
      </x:c>
      <x:c r="Q16" s="20" t="n">
        <x:f>Q15*Assumptions!$C$14</x:f>
        <x:v>0</x:v>
      </x:c>
      <x:c r="R16" s="20" t="n">
        <x:f>R15*Assumptions!$C$14</x:f>
        <x:v>0</x:v>
      </x:c>
      <x:c r="S16" s="20" t="n">
        <x:f>S15*Assumptions!$C$14</x:f>
        <x:v>0</x:v>
      </x:c>
      <x:c r="T16" s="20" t="n">
        <x:f>T15*Assumptions!$C$14</x:f>
        <x:v>1</x:v>
      </x:c>
      <x:c r="U16" s="20" t="n">
        <x:f>U15*Assumptions!$C$14</x:f>
        <x:v>0</x:v>
      </x:c>
      <x:c r="V16" s="20" t="n">
        <x:f>V15*Assumptions!$C$14</x:f>
        <x:v>0</x:v>
      </x:c>
      <x:c r="W16" s="20" t="n">
        <x:f>W15*Assumptions!$C$14</x:f>
        <x:v>1</x:v>
      </x:c>
      <x:c r="X16" s="20" t="n">
        <x:f>X15*Assumptions!$C$14</x:f>
        <x:v>0</x:v>
      </x:c>
      <x:c r="Y16" s="20" t="n">
        <x:f>Y15*Assumptions!$C$14</x:f>
        <x:v>0</x:v>
      </x:c>
      <x:c r="Z16" s="20" t="n">
        <x:f>Z15*Assumptions!$C$14</x:f>
        <x:v>1</x:v>
      </x:c>
      <x:c r="AA16" s="2"/>
      <x:c r="AB16" s="2"/>
    </x:row>
    <x:row r="17" ht="22" customHeight="1">
      <x:c r="A17" s="2"/>
      <x:c r="B17" s="2" t="str">
        <x:v>Licensed institution seats</x:v>
      </x:c>
      <x:c r="C17" s="20" t="n">
        <x:f>0+Assumptions!$C$16*(C14-C15+C16)</x:f>
        <x:v>0</x:v>
      </x:c>
      <x:c r="D17" s="20" t="n">
        <x:f>C17+Assumptions!$C$16*(D14-D15+D16)</x:f>
        <x:v>0</x:v>
      </x:c>
      <x:c r="E17" s="20" t="n">
        <x:f>D17+Assumptions!$C$16*(E14-E15+E16)</x:f>
        <x:v>0</x:v>
      </x:c>
      <x:c r="F17" s="20" t="n">
        <x:f>E17+Assumptions!$C$16*(F14-F15+F16)</x:f>
        <x:v>0</x:v>
      </x:c>
      <x:c r="G17" s="20" t="n">
        <x:f>F17+Assumptions!$C$16*(G14-G15+G16)</x:f>
        <x:v>0</x:v>
      </x:c>
      <x:c r="H17" s="20" t="n">
        <x:f>G17+Assumptions!$C$16*(H14-H15+H16)</x:f>
        <x:v>250</x:v>
      </x:c>
      <x:c r="I17" s="20" t="n">
        <x:f>H17+Assumptions!$C$16*(I14-I15+I16)</x:f>
        <x:v>250</x:v>
      </x:c>
      <x:c r="J17" s="20" t="n">
        <x:f>I17+Assumptions!$C$16*(J14-J15+J16)</x:f>
        <x:v>250</x:v>
      </x:c>
      <x:c r="K17" s="20" t="n">
        <x:f>J17+Assumptions!$C$16*(K14-K15+K16)</x:f>
        <x:v>500</x:v>
      </x:c>
      <x:c r="L17" s="20" t="n">
        <x:f>K17+Assumptions!$C$16*(L14-L15+L16)</x:f>
        <x:v>500</x:v>
      </x:c>
      <x:c r="M17" s="20" t="n">
        <x:f>L17+Assumptions!$C$16*(M14-M15+M16)</x:f>
        <x:v>500</x:v>
      </x:c>
      <x:c r="N17" s="20" t="n">
        <x:f>M17+Assumptions!$C$16*(N14-N15+N16)</x:f>
        <x:v>750</x:v>
      </x:c>
      <x:c r="O17" s="20" t="n">
        <x:f>N17+Assumptions!$C$16*(O14-O15+O16)</x:f>
        <x:v>750</x:v>
      </x:c>
      <x:c r="P17" s="20" t="n">
        <x:f>O17+Assumptions!$C$16*(P14-P15+P16)</x:f>
        <x:v>750</x:v>
      </x:c>
      <x:c r="Q17" s="20" t="n">
        <x:f>P17+Assumptions!$C$16*(Q14-Q15+Q16)</x:f>
        <x:v>1000</x:v>
      </x:c>
      <x:c r="R17" s="20" t="n">
        <x:f>Q17+Assumptions!$C$16*(R14-R15+R16)</x:f>
        <x:v>1000</x:v>
      </x:c>
      <x:c r="S17" s="20" t="n">
        <x:f>R17+Assumptions!$C$16*(S14-S15+S16)</x:f>
        <x:v>1000</x:v>
      </x:c>
      <x:c r="T17" s="20" t="n">
        <x:f>S17+Assumptions!$C$16*(T14-T15+T16)</x:f>
        <x:v>1250</x:v>
      </x:c>
      <x:c r="U17" s="20" t="n">
        <x:f>T17+Assumptions!$C$16*(U14-U15+U16)</x:f>
        <x:v>1250</x:v>
      </x:c>
      <x:c r="V17" s="20" t="n">
        <x:f>U17+Assumptions!$C$16*(V14-V15+V16)</x:f>
        <x:v>1250</x:v>
      </x:c>
      <x:c r="W17" s="20" t="n">
        <x:f>V17+Assumptions!$C$16*(W14-W15+W16)</x:f>
        <x:v>1500</x:v>
      </x:c>
      <x:c r="X17" s="20" t="n">
        <x:f>W17+Assumptions!$C$16*(X14-X15+X16)</x:f>
        <x:v>1500</x:v>
      </x:c>
      <x:c r="Y17" s="20" t="n">
        <x:f>X17+Assumptions!$C$16*(Y14-Y15+Y16)</x:f>
        <x:v>1500</x:v>
      </x:c>
      <x:c r="Z17" s="20" t="n">
        <x:f>Y17+Assumptions!$C$16*(Z14-Z15+Z16)</x:f>
        <x:v>1750</x:v>
      </x:c>
      <x:c r="AA17" s="2"/>
      <x:c r="AB17" s="2"/>
    </x:row>
    <x:row r="18" ht="22" customHeight="1">
      <x:c r="A18" s="2"/>
      <x:c r="B18" s="2" t="str">
        <x:v>Institution monthly active</x:v>
      </x:c>
      <x:c r="C18" s="20" t="n">
        <x:f>C17*Assumptions!$C$22</x:f>
        <x:v>0</x:v>
      </x:c>
      <x:c r="D18" s="20" t="n">
        <x:f>D17*Assumptions!$C$22</x:f>
        <x:v>0</x:v>
      </x:c>
      <x:c r="E18" s="20" t="n">
        <x:f>E17*Assumptions!$C$22</x:f>
        <x:v>0</x:v>
      </x:c>
      <x:c r="F18" s="20" t="n">
        <x:f>F17*Assumptions!$C$22</x:f>
        <x:v>0</x:v>
      </x:c>
      <x:c r="G18" s="20" t="n">
        <x:f>G17*Assumptions!$C$22</x:f>
        <x:v>0</x:v>
      </x:c>
      <x:c r="H18" s="20" t="n">
        <x:f>H17*Assumptions!$C$22</x:f>
        <x:v>150</x:v>
      </x:c>
      <x:c r="I18" s="20" t="n">
        <x:f>I17*Assumptions!$C$22</x:f>
        <x:v>150</x:v>
      </x:c>
      <x:c r="J18" s="20" t="n">
        <x:f>J17*Assumptions!$C$22</x:f>
        <x:v>150</x:v>
      </x:c>
      <x:c r="K18" s="20" t="n">
        <x:f>K17*Assumptions!$C$22</x:f>
        <x:v>300</x:v>
      </x:c>
      <x:c r="L18" s="20" t="n">
        <x:f>L17*Assumptions!$C$22</x:f>
        <x:v>300</x:v>
      </x:c>
      <x:c r="M18" s="20" t="n">
        <x:f>M17*Assumptions!$C$22</x:f>
        <x:v>300</x:v>
      </x:c>
      <x:c r="N18" s="20" t="n">
        <x:f>N17*Assumptions!$C$22</x:f>
        <x:v>450</x:v>
      </x:c>
      <x:c r="O18" s="20" t="n">
        <x:f>O17*Assumptions!$C$22</x:f>
        <x:v>450</x:v>
      </x:c>
      <x:c r="P18" s="20" t="n">
        <x:f>P17*Assumptions!$C$22</x:f>
        <x:v>450</x:v>
      </x:c>
      <x:c r="Q18" s="20" t="n">
        <x:f>Q17*Assumptions!$C$22</x:f>
        <x:v>600</x:v>
      </x:c>
      <x:c r="R18" s="20" t="n">
        <x:f>R17*Assumptions!$C$22</x:f>
        <x:v>600</x:v>
      </x:c>
      <x:c r="S18" s="20" t="n">
        <x:f>S17*Assumptions!$C$22</x:f>
        <x:v>600</x:v>
      </x:c>
      <x:c r="T18" s="20" t="n">
        <x:f>T17*Assumptions!$C$22</x:f>
        <x:v>750</x:v>
      </x:c>
      <x:c r="U18" s="20" t="n">
        <x:f>U17*Assumptions!$C$22</x:f>
        <x:v>750</x:v>
      </x:c>
      <x:c r="V18" s="20" t="n">
        <x:f>V17*Assumptions!$C$22</x:f>
        <x:v>750</x:v>
      </x:c>
      <x:c r="W18" s="20" t="n">
        <x:f>W17*Assumptions!$C$22</x:f>
        <x:v>900</x:v>
      </x:c>
      <x:c r="X18" s="20" t="n">
        <x:f>X17*Assumptions!$C$22</x:f>
        <x:v>900</x:v>
      </x:c>
      <x:c r="Y18" s="20" t="n">
        <x:f>Y17*Assumptions!$C$22</x:f>
        <x:v>900</x:v>
      </x:c>
      <x:c r="Z18" s="20" t="n">
        <x:f>Z17*Assumptions!$C$22</x:f>
        <x:v>1050</x:v>
      </x:c>
      <x:c r="AA18" s="2"/>
      <x:c r="AB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</x:row>
    <x:row r="20" ht="22" customHeight="1">
      <x:c r="A20" s="2"/>
      <x:c r="B20" s="2" t="str">
        <x:v>Consumer revenue ex VAT / refunds</x:v>
      </x:c>
      <x:c r="C20" s="22" t="n">
        <x:f>C12*'Unit costs'!$C$7</x:f>
        <x:v>206.6521739130435</x:v>
      </x:c>
      <x:c r="D20" s="22" t="n">
        <x:f>D12*'Unit costs'!$C$7</x:f>
        <x:v>342.62930434782606</x:v>
      </x:c>
      <x:c r="E20" s="22" t="n">
        <x:f>E12*'Unit costs'!$C$7</x:f>
        <x:v>487.1411695652174</x:v>
      </x:c>
      <x:c r="F20" s="22" t="n">
        <x:f>F12*'Unit costs'!$C$7</x:f>
        <x:v>743.3727130869567</x:v>
      </x:c>
      <x:c r="G20" s="22" t="n">
        <x:f>G12*'Unit costs'!$C$7</x:f>
        <x:v>1016.5078196091307</x:v>
      </x:c>
      <x:c r="H20" s="22" t="n">
        <x:f>H12*'Unit costs'!$C$7</x:f>
        <x:v>0</x:v>
      </x:c>
      <x:c r="I20" s="22" t="n">
        <x:f>I12*'Unit costs'!$C$7</x:f>
        <x:v>407.89474881215466</x:v>
      </x:c>
      <x:c r="J20" s="22" t="n">
        <x:f>J12*'Unit costs'!$C$7</x:f>
        <x:v>767.657917264475</x:v>
      </x:c>
      <x:c r="K20" s="22" t="n">
        <x:f>K12*'Unit costs'!$C$7</x:f>
        <x:v>0</x:v>
      </x:c>
      <x:c r="L20" s="22" t="n">
        <x:f>L12*'Unit costs'!$C$7</x:f>
        <x:v>573.062753659163</x:v>
      </x:c>
      <x:c r="M20" s="22" t="n">
        <x:f>M12*'Unit costs'!$C$7</x:f>
        <x:v>1174.7786450012843</x:v>
      </x:c>
      <x:c r="N20" s="22" t="n">
        <x:f>N12*'Unit costs'!$C$7</x:f>
        <x:v>261.5027536934223</x:v>
      </x:c>
      <x:c r="O20" s="22" t="n">
        <x:f>O12*'Unit costs'!$C$7</x:f>
        <x:v>1048.3094693077435</x:v>
      </x:c>
      <x:c r="P20" s="22" t="n">
        <x:f>P12*'Unit costs'!$C$7</x:f>
        <x:v>1561.049275751644</x:v>
      </x:c>
      <x:c r="Q20" s="22" t="n">
        <x:f>Q12*'Unit costs'!$C$7</x:f>
        <x:v>558.3405677120988</x:v>
      </x:c>
      <x:c r="R20" s="22" t="n">
        <x:f>R12*'Unit costs'!$C$7</x:f>
        <x:v>1650.380991178719</x:v>
      </x:c>
      <x:c r="S20" s="22" t="n">
        <x:f>S12*'Unit costs'!$C$7</x:f>
        <x:v>2801.7134965874516</x:v>
      </x:c>
      <x:c r="T20" s="22" t="n">
        <x:f>T12*'Unit costs'!$C$7</x:f>
        <x:v>2474.5845232446954</x:v>
      </x:c>
      <x:c r="U20" s="22" t="n">
        <x:f>U12*'Unit costs'!$C$7</x:f>
        <x:v>3890.5117554757026</x:v>
      </x:c>
      <x:c r="V20" s="22" t="n">
        <x:f>V12*'Unit costs'!$C$7</x:f>
        <x:v>5131.044970305349</x:v>
      </x:c>
      <x:c r="W20" s="22" t="n">
        <x:f>W12*'Unit costs'!$C$7</x:f>
        <x:v>4916.393840274646</x:v>
      </x:c>
      <x:c r="X20" s="22" t="n">
        <x:f>X12*'Unit costs'!$C$7</x:f>
        <x:v>6804.885001934384</x:v>
      </x:c>
      <x:c r="Y20" s="22" t="n">
        <x:f>Y12*'Unit costs'!$C$7</x:f>
        <x:v>8829.098429935415</x:v>
      </x:c>
      <x:c r="Z20" s="22" t="n">
        <x:f>Z12*'Unit costs'!$C$7</x:f>
        <x:v>9461.79225900492</x:v>
      </x:c>
      <x:c r="AA20" s="2"/>
      <x:c r="AB20" s="2"/>
    </x:row>
    <x:row r="21" ht="22" customHeight="1">
      <x:c r="A21" s="2"/>
      <x:c r="B21" s="2" t="str">
        <x:v>Institution licence revenue earned</x:v>
      </x:c>
      <x:c r="C21" s="22" t="n">
        <x:f>C17*Assumptions!$C$17</x:f>
        <x:v>0</x:v>
      </x:c>
      <x:c r="D21" s="22" t="n">
        <x:f>D17*Assumptions!$C$17</x:f>
        <x:v>0</x:v>
      </x:c>
      <x:c r="E21" s="22" t="n">
        <x:f>E17*Assumptions!$C$17</x:f>
        <x:v>0</x:v>
      </x:c>
      <x:c r="F21" s="22" t="n">
        <x:f>F17*Assumptions!$C$17</x:f>
        <x:v>0</x:v>
      </x:c>
      <x:c r="G21" s="22" t="n">
        <x:f>G17*Assumptions!$C$17</x:f>
        <x:v>0</x:v>
      </x:c>
      <x:c r="H21" s="22" t="n">
        <x:f>H17*Assumptions!$C$17</x:f>
        <x:v>8750</x:v>
      </x:c>
      <x:c r="I21" s="22" t="n">
        <x:f>I17*Assumptions!$C$17</x:f>
        <x:v>8750</x:v>
      </x:c>
      <x:c r="J21" s="22" t="n">
        <x:f>J17*Assumptions!$C$17</x:f>
        <x:v>8750</x:v>
      </x:c>
      <x:c r="K21" s="22" t="n">
        <x:f>K17*Assumptions!$C$17</x:f>
        <x:v>17500</x:v>
      </x:c>
      <x:c r="L21" s="22" t="n">
        <x:f>L17*Assumptions!$C$17</x:f>
        <x:v>17500</x:v>
      </x:c>
      <x:c r="M21" s="22" t="n">
        <x:f>M17*Assumptions!$C$17</x:f>
        <x:v>17500</x:v>
      </x:c>
      <x:c r="N21" s="22" t="n">
        <x:f>N17*Assumptions!$C$17</x:f>
        <x:v>26250</x:v>
      </x:c>
      <x:c r="O21" s="22" t="n">
        <x:f>O17*Assumptions!$C$17</x:f>
        <x:v>26250</x:v>
      </x:c>
      <x:c r="P21" s="22" t="n">
        <x:f>P17*Assumptions!$C$17</x:f>
        <x:v>26250</x:v>
      </x:c>
      <x:c r="Q21" s="22" t="n">
        <x:f>Q17*Assumptions!$C$17</x:f>
        <x:v>35000</x:v>
      </x:c>
      <x:c r="R21" s="22" t="n">
        <x:f>R17*Assumptions!$C$17</x:f>
        <x:v>35000</x:v>
      </x:c>
      <x:c r="S21" s="22" t="n">
        <x:f>S17*Assumptions!$C$17</x:f>
        <x:v>35000</x:v>
      </x:c>
      <x:c r="T21" s="22" t="n">
        <x:f>T17*Assumptions!$C$17</x:f>
        <x:v>43750</x:v>
      </x:c>
      <x:c r="U21" s="22" t="n">
        <x:f>U17*Assumptions!$C$17</x:f>
        <x:v>43750</x:v>
      </x:c>
      <x:c r="V21" s="22" t="n">
        <x:f>V17*Assumptions!$C$17</x:f>
        <x:v>43750</x:v>
      </x:c>
      <x:c r="W21" s="22" t="n">
        <x:f>W17*Assumptions!$C$17</x:f>
        <x:v>52500</x:v>
      </x:c>
      <x:c r="X21" s="22" t="n">
        <x:f>X17*Assumptions!$C$17</x:f>
        <x:v>52500</x:v>
      </x:c>
      <x:c r="Y21" s="22" t="n">
        <x:f>Y17*Assumptions!$C$17</x:f>
        <x:v>52500</x:v>
      </x:c>
      <x:c r="Z21" s="22" t="n">
        <x:f>Z17*Assumptions!$C$17</x:f>
        <x:v>61250</x:v>
      </x:c>
      <x:c r="AA21" s="2"/>
      <x:c r="AB21" s="2"/>
    </x:row>
    <x:row r="22" ht="22" customHeight="1">
      <x:c r="A22" s="2"/>
      <x:c r="B22" s="2" t="str">
        <x:v>Onboarding revenue earned</x:v>
      </x:c>
      <x:c r="C22" s="22" t="n">
        <x:f>C14*Assumptions!$C$18</x:f>
        <x:v>0</x:v>
      </x:c>
      <x:c r="D22" s="22" t="n">
        <x:f>D14*Assumptions!$C$18</x:f>
        <x:v>0</x:v>
      </x:c>
      <x:c r="E22" s="22" t="n">
        <x:f>E14*Assumptions!$C$18</x:f>
        <x:v>0</x:v>
      </x:c>
      <x:c r="F22" s="22" t="n">
        <x:f>F14*Assumptions!$C$18</x:f>
        <x:v>0</x:v>
      </x:c>
      <x:c r="G22" s="22" t="n">
        <x:f>G14*Assumptions!$C$18</x:f>
        <x:v>0</x:v>
      </x:c>
      <x:c r="H22" s="22" t="n">
        <x:f>H14*Assumptions!$C$18</x:f>
        <x:v>6000</x:v>
      </x:c>
      <x:c r="I22" s="22" t="n">
        <x:f>I14*Assumptions!$C$18</x:f>
        <x:v>0</x:v>
      </x:c>
      <x:c r="J22" s="22" t="n">
        <x:f>J14*Assumptions!$C$18</x:f>
        <x:v>0</x:v>
      </x:c>
      <x:c r="K22" s="22" t="n">
        <x:f>K14*Assumptions!$C$18</x:f>
        <x:v>6000</x:v>
      </x:c>
      <x:c r="L22" s="22" t="n">
        <x:f>L14*Assumptions!$C$18</x:f>
        <x:v>0</x:v>
      </x:c>
      <x:c r="M22" s="22" t="n">
        <x:f>M14*Assumptions!$C$18</x:f>
        <x:v>0</x:v>
      </x:c>
      <x:c r="N22" s="22" t="n">
        <x:f>N14*Assumptions!$C$18</x:f>
        <x:v>6000</x:v>
      </x:c>
      <x:c r="O22" s="22" t="n">
        <x:f>O14*Assumptions!$C$18</x:f>
        <x:v>0</x:v>
      </x:c>
      <x:c r="P22" s="22" t="n">
        <x:f>P14*Assumptions!$C$18</x:f>
        <x:v>0</x:v>
      </x:c>
      <x:c r="Q22" s="22" t="n">
        <x:f>Q14*Assumptions!$C$18</x:f>
        <x:v>6000</x:v>
      </x:c>
      <x:c r="R22" s="22" t="n">
        <x:f>R14*Assumptions!$C$18</x:f>
        <x:v>0</x:v>
      </x:c>
      <x:c r="S22" s="22" t="n">
        <x:f>S14*Assumptions!$C$18</x:f>
        <x:v>0</x:v>
      </x:c>
      <x:c r="T22" s="22" t="n">
        <x:f>T14*Assumptions!$C$18</x:f>
        <x:v>6000</x:v>
      </x:c>
      <x:c r="U22" s="22" t="n">
        <x:f>U14*Assumptions!$C$18</x:f>
        <x:v>0</x:v>
      </x:c>
      <x:c r="V22" s="22" t="n">
        <x:f>V14*Assumptions!$C$18</x:f>
        <x:v>0</x:v>
      </x:c>
      <x:c r="W22" s="22" t="n">
        <x:f>W14*Assumptions!$C$18</x:f>
        <x:v>6000</x:v>
      </x:c>
      <x:c r="X22" s="22" t="n">
        <x:f>X14*Assumptions!$C$18</x:f>
        <x:v>0</x:v>
      </x:c>
      <x:c r="Y22" s="22" t="n">
        <x:f>Y14*Assumptions!$C$18</x:f>
        <x:v>0</x:v>
      </x:c>
      <x:c r="Z22" s="22" t="n">
        <x:f>Z14*Assumptions!$C$18</x:f>
        <x:v>6000</x:v>
      </x:c>
      <x:c r="AA22" s="2"/>
      <x:c r="AB22" s="2"/>
    </x:row>
    <x:row r="23" ht="22" customHeight="1">
      <x:c r="A23" s="2"/>
      <x:c r="B23" s="27" t="str">
        <x:v>Total revenue earned</x:v>
      </x:c>
      <x:c r="C23" s="28" t="n">
        <x:f>SUM(C20:C22)</x:f>
        <x:v>206.6521739130435</x:v>
      </x:c>
      <x:c r="D23" s="28" t="n">
        <x:f>SUM(D20:D22)</x:f>
        <x:v>342.62930434782606</x:v>
      </x:c>
      <x:c r="E23" s="28" t="n">
        <x:f>SUM(E20:E22)</x:f>
        <x:v>487.1411695652174</x:v>
      </x:c>
      <x:c r="F23" s="28" t="n">
        <x:f>SUM(F20:F22)</x:f>
        <x:v>743.3727130869567</x:v>
      </x:c>
      <x:c r="G23" s="28" t="n">
        <x:f>SUM(G20:G22)</x:f>
        <x:v>1016.5078196091307</x:v>
      </x:c>
      <x:c r="H23" s="28" t="n">
        <x:f>SUM(H20:H22)</x:f>
        <x:v>14750</x:v>
      </x:c>
      <x:c r="I23" s="28" t="n">
        <x:f>SUM(I20:I22)</x:f>
        <x:v>9157.894748812154</x:v>
      </x:c>
      <x:c r="J23" s="28" t="n">
        <x:f>SUM(J20:J22)</x:f>
        <x:v>9517.657917264474</x:v>
      </x:c>
      <x:c r="K23" s="28" t="n">
        <x:f>SUM(K20:K22)</x:f>
        <x:v>23500</x:v>
      </x:c>
      <x:c r="L23" s="28" t="n">
        <x:f>SUM(L20:L22)</x:f>
        <x:v>18073.062753659164</x:v>
      </x:c>
      <x:c r="M23" s="28" t="n">
        <x:f>SUM(M20:M22)</x:f>
        <x:v>18674.778645001283</x:v>
      </x:c>
      <x:c r="N23" s="28" t="n">
        <x:f>SUM(N20:N22)</x:f>
        <x:v>32511.50275369342</x:v>
      </x:c>
      <x:c r="O23" s="28" t="n">
        <x:f>SUM(O20:O22)</x:f>
        <x:v>27298.309469307744</x:v>
      </x:c>
      <x:c r="P23" s="28" t="n">
        <x:f>SUM(P20:P22)</x:f>
        <x:v>27811.049275751644</x:v>
      </x:c>
      <x:c r="Q23" s="28" t="n">
        <x:f>SUM(Q20:Q22)</x:f>
        <x:v>41558.3405677121</x:v>
      </x:c>
      <x:c r="R23" s="28" t="n">
        <x:f>SUM(R20:R22)</x:f>
        <x:v>36650.38099117872</x:v>
      </x:c>
      <x:c r="S23" s="28" t="n">
        <x:f>SUM(S20:S22)</x:f>
        <x:v>37801.71349658745</x:v>
      </x:c>
      <x:c r="T23" s="28" t="n">
        <x:f>SUM(T20:T22)</x:f>
        <x:v>52224.584523244695</x:v>
      </x:c>
      <x:c r="U23" s="28" t="n">
        <x:f>SUM(U20:U22)</x:f>
        <x:v>47640.5117554757</x:v>
      </x:c>
      <x:c r="V23" s="28" t="n">
        <x:f>SUM(V20:V22)</x:f>
        <x:v>48881.044970305345</x:v>
      </x:c>
      <x:c r="W23" s="28" t="n">
        <x:f>SUM(W20:W22)</x:f>
        <x:v>63416.39384027464</x:v>
      </x:c>
      <x:c r="X23" s="28" t="n">
        <x:f>SUM(X20:X22)</x:f>
        <x:v>59304.88500193438</x:v>
      </x:c>
      <x:c r="Y23" s="28" t="n">
        <x:f>SUM(Y20:Y22)</x:f>
        <x:v>61329.09842993542</x:v>
      </x:c>
      <x:c r="Z23" s="28" t="n">
        <x:f>SUM(Z20:Z22)</x:f>
        <x:v>76711.79225900493</x:v>
      </x:c>
      <x:c r="AA23" s="2"/>
      <x:c r="AB23" s="2"/>
    </x:row>
    <x:row r="24" ht="22" customHeight="1">
      <x:c r="A24" s="2"/>
      <x:c r="B24" s="2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  <x:c r="AA24" s="2"/>
      <x:c r="AB24" s="2"/>
    </x:row>
    <x:row r="25" ht="22" customHeight="1">
      <x:c r="A25" s="2"/>
      <x:c r="B25" s="2" t="str">
        <x:v>Consumer variable cost</x:v>
      </x:c>
      <x:c r="C25" s="22" t="n">
        <x:f>C12*'Unit costs'!$C$13</x:f>
        <x:v>66.56442</x:v>
      </x:c>
      <x:c r="D25" s="22" t="n">
        <x:f>D12*'Unit costs'!$C$13</x:f>
        <x:v>110.36380836</x:v>
      </x:c>
      <x:c r="E25" s="22" t="n">
        <x:f>E12*'Unit costs'!$C$13</x:f>
        <x:v>156.912307266</x:v>
      </x:c>
      <x:c r="F25" s="22" t="n">
        <x:f>F12*'Unit costs'!$C$13</x:f>
        <x:v>239.44666321914005</x:v>
      </x:c>
      <x:c r="G25" s="22" t="n">
        <x:f>G12*'Unit costs'!$C$13</x:f>
        <x:v>327.4258003509715</x:v>
      </x:c>
      <x:c r="H25" s="22" t="n">
        <x:f>H12*'Unit costs'!$C$13</x:f>
        <x:v>0</x:v>
      </x:c>
      <x:c r="I25" s="22" t="n">
        <x:f>I12*'Unit costs'!$C$13</x:f>
        <x:v>131.38636222211562</x:v>
      </x:c>
      <x:c r="J25" s="22" t="n">
        <x:f>J12*'Unit costs'!$C$13</x:f>
        <x:v>247.26913370202158</x:v>
      </x:c>
      <x:c r="K25" s="22" t="n">
        <x:f>K12*'Unit costs'!$C$13</x:f>
        <x:v>0</x:v>
      </x:c>
      <x:c r="L25" s="22" t="n">
        <x:f>L12*'Unit costs'!$C$13</x:f>
        <x:v>184.58837910399254</x:v>
      </x:c>
      <x:c r="M25" s="22" t="n">
        <x:f>M12*'Unit costs'!$C$13</x:f>
        <x:v>378.4061771631847</x:v>
      </x:c>
      <x:c r="N25" s="22" t="n">
        <x:f>N12*'Unit costs'!$C$13</x:f>
        <x:v>84.23225750980995</x:v>
      </x:c>
      <x:c r="O25" s="22" t="n">
        <x:f>O12*'Unit costs'!$C$13</x:f>
        <x:v>337.66938176193736</x:v>
      </x:c>
      <x:c r="P25" s="22" t="n">
        <x:f>P12*'Unit costs'!$C$13</x:f>
        <x:v>502.82722733685034</x:v>
      </x:c>
      <x:c r="Q25" s="22" t="n">
        <x:f>Q12*'Unit costs'!$C$13</x:f>
        <x:v>179.84623799730937</x:v>
      </x:c>
      <x:c r="R25" s="22" t="n">
        <x:f>R12*'Unit costs'!$C$13</x:f>
        <x:v>531.6017314343026</x:v>
      </x:c>
      <x:c r="S25" s="22" t="n">
        <x:f>S12*'Unit costs'!$C$13</x:f>
        <x:v>902.455707942323</x:v>
      </x:c>
      <x:c r="T25" s="22" t="n">
        <x:f>T12*'Unit costs'!$C$13</x:f>
        <x:v>797.0846878197923</x:v>
      </x:c>
      <x:c r="U25" s="22" t="n">
        <x:f>U12*'Unit costs'!$C$13</x:f>
        <x:v>1253.166872637851</x:v>
      </x:c>
      <x:c r="V25" s="22" t="n">
        <x:f>V12*'Unit costs'!$C$13</x:f>
        <x:v>1652.753155096304</x:v>
      </x:c>
      <x:c r="W25" s="22" t="n">
        <x:f>W12*'Unit costs'!$C$13</x:f>
        <x:v>1583.6122034078376</x:v>
      </x:c>
      <x:c r="X25" s="22" t="n">
        <x:f>X12*'Unit costs'!$C$13</x:f>
        <x:v>2191.9112426616043</x:v>
      </x:c>
      <x:c r="Y25" s="22" t="n">
        <x:f>Y12*'Unit costs'!$C$13</x:f>
        <x:v>2843.9275763866854</x:v>
      </x:c>
      <x:c r="Z25" s="22" t="n">
        <x:f>Z12*'Unit costs'!$C$13</x:f>
        <x:v>3047.7236312363775</x:v>
      </x:c>
      <x:c r="AA25" s="2"/>
      <x:c r="AB25" s="2"/>
    </x:row>
    <x:row r="26" ht="22" customHeight="1">
      <x:c r="A26" s="2"/>
      <x:c r="B26" s="2" t="str">
        <x:v>Free user variable cost</x:v>
      </x:c>
      <x:c r="C26" s="22" t="n">
        <x:f>C13*'Unit costs'!$C$16</x:f>
        <x:v>71.8145675</x:v>
      </x:c>
      <x:c r="D26" s="22" t="n">
        <x:f>D13*'Unit costs'!$C$16</x:f>
        <x:v>77.41610376499999</x:v>
      </x:c>
      <x:c r="E26" s="22" t="n">
        <x:f>E13*'Unit costs'!$C$16</x:f>
        <x:v>85.65036207455002</x:v>
      </x:c>
      <x:c r="F26" s="22" t="n">
        <x:f>F13*'Unit costs'!$C$16</x:f>
        <x:v>130.87192341473252</x:v>
      </x:c>
      <x:c r="G26" s="22" t="n">
        <x:f>G13*'Unit costs'!$C$16</x:f>
        <x:v>158.80678548643323</x:v>
      </x:c>
      <x:c r="H26" s="22" t="n">
        <x:f>H13*'Unit costs'!$C$16</x:f>
        <x:v>26.02555568648169</x:v>
      </x:c>
      <x:c r="I26" s="22" t="n">
        <x:f>I13*'Unit costs'!$C$16</x:f>
        <x:v>150.85816694844627</x:v>
      </x:c>
      <x:c r="J26" s="22" t="n">
        <x:f>J13*'Unit costs'!$C$16</x:f>
        <x:v>187.74561821214135</x:v>
      </x:c>
      <x:c r="K26" s="22" t="n">
        <x:f>K13*'Unit costs'!$C$16</x:f>
        <x:v>60.731032328056905</x:v>
      </x:c>
      <x:c r="L26" s="22" t="n">
        <x:f>L13*'Unit costs'!$C$16</x:f>
        <x:v>220.40331292454263</x:v>
      </x:c>
      <x:c r="M26" s="22" t="n">
        <x:f>M13*'Unit costs'!$C$16</x:f>
        <x:v>300.1863053264794</x:v>
      </x:c>
      <x:c r="N26" s="22" t="n">
        <x:f>N13*'Unit costs'!$C$16</x:f>
        <x:v>198.75714516350405</x:v>
      </x:c>
      <x:c r="O26" s="22" t="n">
        <x:f>O13*'Unit costs'!$C$16</x:f>
        <x:v>349.352831702371</x:v>
      </x:c>
      <x:c r="P26" s="22" t="n">
        <x:f>P13*'Unit costs'!$C$16</x:f>
        <x:v>325.95903198749517</x:v>
      </x:c>
      <x:c r="Q26" s="22" t="n">
        <x:f>Q13*'Unit costs'!$C$16</x:f>
        <x:v>186.0948419942885</x:v>
      </x:c>
      <x:c r="R26" s="22" t="n">
        <x:f>R13*'Unit costs'!$C$16</x:f>
        <x:v>458.2149523818548</x:v>
      </x:c>
      <x:c r="S26" s="22" t="n">
        <x:f>S13*'Unit costs'!$C$16</x:f>
        <x:v>600.6268019395656</x:v>
      </x:c>
      <x:c r="T26" s="22" t="n">
        <x:f>T13*'Unit costs'!$C$16</x:f>
        <x:v>547.1825125174743</x:v>
      </x:c>
      <x:c r="U26" s="22" t="n">
        <x:f>U13*'Unit costs'!$C$16</x:f>
        <x:v>743.7654470403776</x:v>
      </x:c>
      <x:c r="V26" s="22" t="n">
        <x:f>V13*'Unit costs'!$C$16</x:f>
        <x:v>786.0613988757492</x:v>
      </x:c>
      <x:c r="W26" s="22" t="n">
        <x:f>W13*'Unit costs'!$C$16</x:f>
        <x:v>707.8355761075233</x:v>
      </x:c>
      <x:c r="X26" s="22" t="n">
        <x:f>X13*'Unit costs'!$C$16</x:f>
        <x:v>1023.6161420860244</x:v>
      </x:c>
      <x:c r="Y26" s="22" t="n">
        <x:f>Y13*'Unit costs'!$C$16</x:f>
        <x:v>1227.2441830323069</x:v>
      </x:c>
      <x:c r="Z26" s="22" t="n">
        <x:f>Z13*'Unit costs'!$C$16</x:f>
        <x:v>1246.6727963597693</x:v>
      </x:c>
      <x:c r="AA26" s="2"/>
      <x:c r="AB26" s="2"/>
    </x:row>
    <x:row r="27" ht="22" customHeight="1">
      <x:c r="A27" s="2"/>
      <x:c r="B27" s="2" t="str">
        <x:v>Institution variable cost</x:v>
      </x:c>
      <x:c r="C27" s="22" t="n">
        <x:f>C18*'Unit costs'!$C$17</x:f>
        <x:v>0</x:v>
      </x:c>
      <x:c r="D27" s="22" t="n">
        <x:f>D18*'Unit costs'!$C$17</x:f>
        <x:v>0</x:v>
      </x:c>
      <x:c r="E27" s="22" t="n">
        <x:f>E18*'Unit costs'!$C$17</x:f>
        <x:v>0</x:v>
      </x:c>
      <x:c r="F27" s="22" t="n">
        <x:f>F18*'Unit costs'!$C$17</x:f>
        <x:v>0</x:v>
      </x:c>
      <x:c r="G27" s="22" t="n">
        <x:f>G18*'Unit costs'!$C$17</x:f>
        <x:v>0</x:v>
      </x:c>
      <x:c r="H27" s="22" t="n">
        <x:f>H18*'Unit costs'!$C$17</x:f>
        <x:v>1000.3637999999999</x:v>
      </x:c>
      <x:c r="I27" s="22" t="n">
        <x:f>I18*'Unit costs'!$C$17</x:f>
        <x:v>1000.3637999999999</x:v>
      </x:c>
      <x:c r="J27" s="22" t="n">
        <x:f>J18*'Unit costs'!$C$17</x:f>
        <x:v>1000.3637999999999</x:v>
      </x:c>
      <x:c r="K27" s="22" t="n">
        <x:f>K18*'Unit costs'!$C$17</x:f>
        <x:v>2000.7275999999997</x:v>
      </x:c>
      <x:c r="L27" s="22" t="n">
        <x:f>L18*'Unit costs'!$C$17</x:f>
        <x:v>2000.7275999999997</x:v>
      </x:c>
      <x:c r="M27" s="22" t="n">
        <x:f>M18*'Unit costs'!$C$17</x:f>
        <x:v>2000.7275999999997</x:v>
      </x:c>
      <x:c r="N27" s="22" t="n">
        <x:f>N18*'Unit costs'!$C$17</x:f>
        <x:v>3001.0914</x:v>
      </x:c>
      <x:c r="O27" s="22" t="n">
        <x:f>O18*'Unit costs'!$C$17</x:f>
        <x:v>3001.0914</x:v>
      </x:c>
      <x:c r="P27" s="22" t="n">
        <x:f>P18*'Unit costs'!$C$17</x:f>
        <x:v>3001.0914</x:v>
      </x:c>
      <x:c r="Q27" s="22" t="n">
        <x:f>Q18*'Unit costs'!$C$17</x:f>
        <x:v>4001.4551999999994</x:v>
      </x:c>
      <x:c r="R27" s="22" t="n">
        <x:f>R18*'Unit costs'!$C$17</x:f>
        <x:v>4001.4551999999994</x:v>
      </x:c>
      <x:c r="S27" s="22" t="n">
        <x:f>S18*'Unit costs'!$C$17</x:f>
        <x:v>4001.4551999999994</x:v>
      </x:c>
      <x:c r="T27" s="22" t="n">
        <x:f>T18*'Unit costs'!$C$17</x:f>
        <x:v>5001.8189999999995</x:v>
      </x:c>
      <x:c r="U27" s="22" t="n">
        <x:f>U18*'Unit costs'!$C$17</x:f>
        <x:v>5001.8189999999995</x:v>
      </x:c>
      <x:c r="V27" s="22" t="n">
        <x:f>V18*'Unit costs'!$C$17</x:f>
        <x:v>5001.8189999999995</x:v>
      </x:c>
      <x:c r="W27" s="22" t="n">
        <x:f>W18*'Unit costs'!$C$17</x:f>
        <x:v>6002.1828</x:v>
      </x:c>
      <x:c r="X27" s="22" t="n">
        <x:f>X18*'Unit costs'!$C$17</x:f>
        <x:v>6002.1828</x:v>
      </x:c>
      <x:c r="Y27" s="22" t="n">
        <x:f>Y18*'Unit costs'!$C$17</x:f>
        <x:v>6002.1828</x:v>
      </x:c>
      <x:c r="Z27" s="22" t="n">
        <x:f>Z18*'Unit costs'!$C$17</x:f>
        <x:v>7002.546599999999</x:v>
      </x:c>
      <x:c r="AA27" s="2"/>
      <x:c r="AB27" s="2"/>
    </x:row>
    <x:row r="28" ht="22" customHeight="1">
      <x:c r="A28" s="2"/>
      <x:c r="B28" s="27" t="str">
        <x:v>Total variable cost</x:v>
      </x:c>
      <x:c r="C28" s="28" t="n">
        <x:f>SUM(C25:C27)</x:f>
        <x:v>138.3789875</x:v>
      </x:c>
      <x:c r="D28" s="28" t="n">
        <x:f>SUM(D25:D27)</x:f>
        <x:v>187.77991212499998</x:v>
      </x:c>
      <x:c r="E28" s="28" t="n">
        <x:f>SUM(E25:E27)</x:f>
        <x:v>242.56266934055003</x:v>
      </x:c>
      <x:c r="F28" s="28" t="n">
        <x:f>SUM(F25:F27)</x:f>
        <x:v>370.31858663387254</x:v>
      </x:c>
      <x:c r="G28" s="28" t="n">
        <x:f>SUM(G25:G27)</x:f>
        <x:v>486.2325858374047</x:v>
      </x:c>
      <x:c r="H28" s="28" t="n">
        <x:f>SUM(H25:H27)</x:f>
        <x:v>1026.3893556864816</x:v>
      </x:c>
      <x:c r="I28" s="28" t="n">
        <x:f>SUM(I25:I27)</x:f>
        <x:v>1282.6083291705618</x:v>
      </x:c>
      <x:c r="J28" s="28" t="n">
        <x:f>SUM(J25:J27)</x:f>
        <x:v>1435.378551914163</x:v>
      </x:c>
      <x:c r="K28" s="28" t="n">
        <x:f>SUM(K25:K27)</x:f>
        <x:v>2061.4586323280564</x:v>
      </x:c>
      <x:c r="L28" s="28" t="n">
        <x:f>SUM(L25:L27)</x:f>
        <x:v>2405.7192920285347</x:v>
      </x:c>
      <x:c r="M28" s="28" t="n">
        <x:f>SUM(M25:M27)</x:f>
        <x:v>2679.320082489664</x:v>
      </x:c>
      <x:c r="N28" s="28" t="n">
        <x:f>SUM(N25:N27)</x:f>
        <x:v>3284.080802673314</x:v>
      </x:c>
      <x:c r="O28" s="28" t="n">
        <x:f>SUM(O25:O27)</x:f>
        <x:v>3688.1136134643084</x:v>
      </x:c>
      <x:c r="P28" s="28" t="n">
        <x:f>SUM(P25:P27)</x:f>
        <x:v>3829.8776593243456</x:v>
      </x:c>
      <x:c r="Q28" s="28" t="n">
        <x:f>SUM(Q25:Q27)</x:f>
        <x:v>4367.396279991597</x:v>
      </x:c>
      <x:c r="R28" s="28" t="n">
        <x:f>SUM(R25:R27)</x:f>
        <x:v>4991.271883816156</x:v>
      </x:c>
      <x:c r="S28" s="28" t="n">
        <x:f>SUM(S25:S27)</x:f>
        <x:v>5504.537709881888</x:v>
      </x:c>
      <x:c r="T28" s="28" t="n">
        <x:f>SUM(T25:T27)</x:f>
        <x:v>6346.086200337266</x:v>
      </x:c>
      <x:c r="U28" s="28" t="n">
        <x:f>SUM(U25:U27)</x:f>
        <x:v>6998.751319678227</x:v>
      </x:c>
      <x:c r="V28" s="28" t="n">
        <x:f>SUM(V25:V27)</x:f>
        <x:v>7440.633553972053</x:v>
      </x:c>
      <x:c r="W28" s="28" t="n">
        <x:f>SUM(W25:W27)</x:f>
        <x:v>8293.63057951536</x:v>
      </x:c>
      <x:c r="X28" s="28" t="n">
        <x:f>SUM(X25:X27)</x:f>
        <x:v>9217.710184747628</x:v>
      </x:c>
      <x:c r="Y28" s="28" t="n">
        <x:f>SUM(Y25:Y27)</x:f>
        <x:v>10073.354559418993</x:v>
      </x:c>
      <x:c r="Z28" s="28" t="n">
        <x:f>SUM(Z25:Z27)</x:f>
        <x:v>11296.943027596146</x:v>
      </x:c>
      <x:c r="AA28" s="2"/>
      <x:c r="AB28" s="2"/>
    </x:row>
    <x:row r="29" ht="22" customHeight="1">
      <x:c r="A29" s="2"/>
      <x:c r="B29" s="2" t="str">
        <x:v>Acquisition / onboarding costs</x:v>
      </x:c>
      <x:c r="C29" s="22" t="n">
        <x:f>Assumptions!$C$27+C14*(Assumptions!$C$28+Assumptions!$C$29)</x:f>
        <x:v>2500</x:v>
      </x:c>
      <x:c r="D29" s="22" t="n">
        <x:f>Assumptions!$C$27+D14*(Assumptions!$C$28+Assumptions!$C$29)</x:f>
        <x:v>2500</x:v>
      </x:c>
      <x:c r="E29" s="22" t="n">
        <x:f>Assumptions!$C$27+E14*(Assumptions!$C$28+Assumptions!$C$29)</x:f>
        <x:v>2500</x:v>
      </x:c>
      <x:c r="F29" s="22" t="n">
        <x:f>Assumptions!$C$27+F14*(Assumptions!$C$28+Assumptions!$C$29)</x:f>
        <x:v>2500</x:v>
      </x:c>
      <x:c r="G29" s="22" t="n">
        <x:f>Assumptions!$C$27+G14*(Assumptions!$C$28+Assumptions!$C$29)</x:f>
        <x:v>2500</x:v>
      </x:c>
      <x:c r="H29" s="22" t="n">
        <x:f>Assumptions!$C$27+H14*(Assumptions!$C$28+Assumptions!$C$29)</x:f>
        <x:v>14500</x:v>
      </x:c>
      <x:c r="I29" s="22" t="n">
        <x:f>Assumptions!$C$27+I14*(Assumptions!$C$28+Assumptions!$C$29)</x:f>
        <x:v>2500</x:v>
      </x:c>
      <x:c r="J29" s="22" t="n">
        <x:f>Assumptions!$C$27+J14*(Assumptions!$C$28+Assumptions!$C$29)</x:f>
        <x:v>2500</x:v>
      </x:c>
      <x:c r="K29" s="22" t="n">
        <x:f>Assumptions!$C$27+K14*(Assumptions!$C$28+Assumptions!$C$29)</x:f>
        <x:v>14500</x:v>
      </x:c>
      <x:c r="L29" s="22" t="n">
        <x:f>Assumptions!$C$27+L14*(Assumptions!$C$28+Assumptions!$C$29)</x:f>
        <x:v>2500</x:v>
      </x:c>
      <x:c r="M29" s="22" t="n">
        <x:f>Assumptions!$C$27+M14*(Assumptions!$C$28+Assumptions!$C$29)</x:f>
        <x:v>2500</x:v>
      </x:c>
      <x:c r="N29" s="22" t="n">
        <x:f>Assumptions!$C$27+N14*(Assumptions!$C$28+Assumptions!$C$29)</x:f>
        <x:v>14500</x:v>
      </x:c>
      <x:c r="O29" s="22" t="n">
        <x:f>Assumptions!$C$27+O14*(Assumptions!$C$28+Assumptions!$C$29)</x:f>
        <x:v>2500</x:v>
      </x:c>
      <x:c r="P29" s="22" t="n">
        <x:f>Assumptions!$C$27+P14*(Assumptions!$C$28+Assumptions!$C$29)</x:f>
        <x:v>2500</x:v>
      </x:c>
      <x:c r="Q29" s="22" t="n">
        <x:f>Assumptions!$C$27+Q14*(Assumptions!$C$28+Assumptions!$C$29)</x:f>
        <x:v>14500</x:v>
      </x:c>
      <x:c r="R29" s="22" t="n">
        <x:f>Assumptions!$C$27+R14*(Assumptions!$C$28+Assumptions!$C$29)</x:f>
        <x:v>2500</x:v>
      </x:c>
      <x:c r="S29" s="22" t="n">
        <x:f>Assumptions!$C$27+S14*(Assumptions!$C$28+Assumptions!$C$29)</x:f>
        <x:v>2500</x:v>
      </x:c>
      <x:c r="T29" s="22" t="n">
        <x:f>Assumptions!$C$27+T14*(Assumptions!$C$28+Assumptions!$C$29)</x:f>
        <x:v>14500</x:v>
      </x:c>
      <x:c r="U29" s="22" t="n">
        <x:f>Assumptions!$C$27+U14*(Assumptions!$C$28+Assumptions!$C$29)</x:f>
        <x:v>2500</x:v>
      </x:c>
      <x:c r="V29" s="22" t="n">
        <x:f>Assumptions!$C$27+V14*(Assumptions!$C$28+Assumptions!$C$29)</x:f>
        <x:v>2500</x:v>
      </x:c>
      <x:c r="W29" s="22" t="n">
        <x:f>Assumptions!$C$27+W14*(Assumptions!$C$28+Assumptions!$C$29)</x:f>
        <x:v>14500</x:v>
      </x:c>
      <x:c r="X29" s="22" t="n">
        <x:f>Assumptions!$C$27+X14*(Assumptions!$C$28+Assumptions!$C$29)</x:f>
        <x:v>2500</x:v>
      </x:c>
      <x:c r="Y29" s="22" t="n">
        <x:f>Assumptions!$C$27+Y14*(Assumptions!$C$28+Assumptions!$C$29)</x:f>
        <x:v>2500</x:v>
      </x:c>
      <x:c r="Z29" s="22" t="n">
        <x:f>Assumptions!$C$27+Z14*(Assumptions!$C$28+Assumptions!$C$29)</x:f>
        <x:v>14500</x:v>
      </x:c>
      <x:c r="AA29" s="2"/>
      <x:c r="AB29" s="2"/>
    </x:row>
    <x:row r="30" ht="22" customHeight="1">
      <x:c r="A30" s="2"/>
      <x:c r="B30" s="2" t="str">
        <x:v>Fixed cost incl replacement labour</x:v>
      </x:c>
      <x:c r="C30" s="22" t="n">
        <x:f>Assumptions!$C$30+Assumptions!$C$31</x:f>
        <x:v>45000</x:v>
      </x:c>
      <x:c r="D30" s="22" t="n">
        <x:f>Assumptions!$C$30+Assumptions!$C$31</x:f>
        <x:v>45000</x:v>
      </x:c>
      <x:c r="E30" s="22" t="n">
        <x:f>Assumptions!$C$30+Assumptions!$C$31</x:f>
        <x:v>45000</x:v>
      </x:c>
      <x:c r="F30" s="22" t="n">
        <x:f>Assumptions!$C$30+Assumptions!$C$31</x:f>
        <x:v>45000</x:v>
      </x:c>
      <x:c r="G30" s="22" t="n">
        <x:f>Assumptions!$C$30+Assumptions!$C$31</x:f>
        <x:v>45000</x:v>
      </x:c>
      <x:c r="H30" s="22" t="n">
        <x:f>Assumptions!$C$30+Assumptions!$C$31</x:f>
        <x:v>45000</x:v>
      </x:c>
      <x:c r="I30" s="22" t="n">
        <x:f>Assumptions!$C$30+Assumptions!$C$31</x:f>
        <x:v>45000</x:v>
      </x:c>
      <x:c r="J30" s="22" t="n">
        <x:f>Assumptions!$C$30+Assumptions!$C$31</x:f>
        <x:v>45000</x:v>
      </x:c>
      <x:c r="K30" s="22" t="n">
        <x:f>Assumptions!$C$30+Assumptions!$C$31</x:f>
        <x:v>45000</x:v>
      </x:c>
      <x:c r="L30" s="22" t="n">
        <x:f>Assumptions!$C$30+Assumptions!$C$31</x:f>
        <x:v>45000</x:v>
      </x:c>
      <x:c r="M30" s="22" t="n">
        <x:f>Assumptions!$C$30+Assumptions!$C$31</x:f>
        <x:v>45000</x:v>
      </x:c>
      <x:c r="N30" s="22" t="n">
        <x:f>Assumptions!$C$30+Assumptions!$C$31</x:f>
        <x:v>45000</x:v>
      </x:c>
      <x:c r="O30" s="22" t="n">
        <x:f>Assumptions!$C$30+Assumptions!$C$31</x:f>
        <x:v>45000</x:v>
      </x:c>
      <x:c r="P30" s="22" t="n">
        <x:f>Assumptions!$C$30+Assumptions!$C$31</x:f>
        <x:v>45000</x:v>
      </x:c>
      <x:c r="Q30" s="22" t="n">
        <x:f>Assumptions!$C$30+Assumptions!$C$31</x:f>
        <x:v>45000</x:v>
      </x:c>
      <x:c r="R30" s="22" t="n">
        <x:f>Assumptions!$C$30+Assumptions!$C$31</x:f>
        <x:v>45000</x:v>
      </x:c>
      <x:c r="S30" s="22" t="n">
        <x:f>Assumptions!$C$30+Assumptions!$C$31</x:f>
        <x:v>45000</x:v>
      </x:c>
      <x:c r="T30" s="22" t="n">
        <x:f>Assumptions!$C$30+Assumptions!$C$31</x:f>
        <x:v>45000</x:v>
      </x:c>
      <x:c r="U30" s="22" t="n">
        <x:f>Assumptions!$C$30+Assumptions!$C$31</x:f>
        <x:v>45000</x:v>
      </x:c>
      <x:c r="V30" s="22" t="n">
        <x:f>Assumptions!$C$30+Assumptions!$C$31</x:f>
        <x:v>45000</x:v>
      </x:c>
      <x:c r="W30" s="22" t="n">
        <x:f>Assumptions!$C$30+Assumptions!$C$31</x:f>
        <x:v>45000</x:v>
      </x:c>
      <x:c r="X30" s="22" t="n">
        <x:f>Assumptions!$C$30+Assumptions!$C$31</x:f>
        <x:v>45000</x:v>
      </x:c>
      <x:c r="Y30" s="22" t="n">
        <x:f>Assumptions!$C$30+Assumptions!$C$31</x:f>
        <x:v>45000</x:v>
      </x:c>
      <x:c r="Z30" s="22" t="n">
        <x:f>Assumptions!$C$30+Assumptions!$C$31</x:f>
        <x:v>45000</x:v>
      </x:c>
      <x:c r="AA30" s="2"/>
      <x:c r="AB30" s="2"/>
    </x:row>
    <x:row r="31" ht="22" customHeight="1">
      <x:c r="A31" s="2"/>
      <x:c r="B31" s="2" t="str">
        <x:v>Settlement fee</x:v>
      </x:c>
      <x:c r="C31" s="22" t="n">
        <x:f>IF(C12&gt;0,Assumptions!$C$42*(1+Assumptions!$C$34),0)</x:f>
        <x:v>10.004999999999999</x:v>
      </x:c>
      <x:c r="D31" s="22" t="n">
        <x:f>IF(D12&gt;0,Assumptions!$C$42*(1+Assumptions!$C$34),0)</x:f>
        <x:v>10.004999999999999</x:v>
      </x:c>
      <x:c r="E31" s="22" t="n">
        <x:f>IF(E12&gt;0,Assumptions!$C$42*(1+Assumptions!$C$34),0)</x:f>
        <x:v>10.004999999999999</x:v>
      </x:c>
      <x:c r="F31" s="22" t="n">
        <x:f>IF(F12&gt;0,Assumptions!$C$42*(1+Assumptions!$C$34),0)</x:f>
        <x:v>10.004999999999999</x:v>
      </x:c>
      <x:c r="G31" s="22" t="n">
        <x:f>IF(G12&gt;0,Assumptions!$C$42*(1+Assumptions!$C$34),0)</x:f>
        <x:v>10.004999999999999</x:v>
      </x:c>
      <x:c r="H31" s="22" t="n">
        <x:f>IF(H12&gt;0,Assumptions!$C$42*(1+Assumptions!$C$34),0)</x:f>
        <x:v>0</x:v>
      </x:c>
      <x:c r="I31" s="22" t="n">
        <x:f>IF(I12&gt;0,Assumptions!$C$42*(1+Assumptions!$C$34),0)</x:f>
        <x:v>10.004999999999999</x:v>
      </x:c>
      <x:c r="J31" s="22" t="n">
        <x:f>IF(J12&gt;0,Assumptions!$C$42*(1+Assumptions!$C$34),0)</x:f>
        <x:v>10.004999999999999</x:v>
      </x:c>
      <x:c r="K31" s="22" t="n">
        <x:f>IF(K12&gt;0,Assumptions!$C$42*(1+Assumptions!$C$34),0)</x:f>
        <x:v>0</x:v>
      </x:c>
      <x:c r="L31" s="22" t="n">
        <x:f>IF(L12&gt;0,Assumptions!$C$42*(1+Assumptions!$C$34),0)</x:f>
        <x:v>10.004999999999999</x:v>
      </x:c>
      <x:c r="M31" s="22" t="n">
        <x:f>IF(M12&gt;0,Assumptions!$C$42*(1+Assumptions!$C$34),0)</x:f>
        <x:v>10.004999999999999</x:v>
      </x:c>
      <x:c r="N31" s="22" t="n">
        <x:f>IF(N12&gt;0,Assumptions!$C$42*(1+Assumptions!$C$34),0)</x:f>
        <x:v>10.004999999999999</x:v>
      </x:c>
      <x:c r="O31" s="22" t="n">
        <x:f>IF(O12&gt;0,Assumptions!$C$42*(1+Assumptions!$C$34),0)</x:f>
        <x:v>10.004999999999999</x:v>
      </x:c>
      <x:c r="P31" s="22" t="n">
        <x:f>IF(P12&gt;0,Assumptions!$C$42*(1+Assumptions!$C$34),0)</x:f>
        <x:v>10.004999999999999</x:v>
      </x:c>
      <x:c r="Q31" s="22" t="n">
        <x:f>IF(Q12&gt;0,Assumptions!$C$42*(1+Assumptions!$C$34),0)</x:f>
        <x:v>10.004999999999999</x:v>
      </x:c>
      <x:c r="R31" s="22" t="n">
        <x:f>IF(R12&gt;0,Assumptions!$C$42*(1+Assumptions!$C$34),0)</x:f>
        <x:v>10.004999999999999</x:v>
      </x:c>
      <x:c r="S31" s="22" t="n">
        <x:f>IF(S12&gt;0,Assumptions!$C$42*(1+Assumptions!$C$34),0)</x:f>
        <x:v>10.004999999999999</x:v>
      </x:c>
      <x:c r="T31" s="22" t="n">
        <x:f>IF(T12&gt;0,Assumptions!$C$42*(1+Assumptions!$C$34),0)</x:f>
        <x:v>10.004999999999999</x:v>
      </x:c>
      <x:c r="U31" s="22" t="n">
        <x:f>IF(U12&gt;0,Assumptions!$C$42*(1+Assumptions!$C$34),0)</x:f>
        <x:v>10.004999999999999</x:v>
      </x:c>
      <x:c r="V31" s="22" t="n">
        <x:f>IF(V12&gt;0,Assumptions!$C$42*(1+Assumptions!$C$34),0)</x:f>
        <x:v>10.004999999999999</x:v>
      </x:c>
      <x:c r="W31" s="22" t="n">
        <x:f>IF(W12&gt;0,Assumptions!$C$42*(1+Assumptions!$C$34),0)</x:f>
        <x:v>10.004999999999999</x:v>
      </x:c>
      <x:c r="X31" s="22" t="n">
        <x:f>IF(X12&gt;0,Assumptions!$C$42*(1+Assumptions!$C$34),0)</x:f>
        <x:v>10.004999999999999</x:v>
      </x:c>
      <x:c r="Y31" s="22" t="n">
        <x:f>IF(Y12&gt;0,Assumptions!$C$42*(1+Assumptions!$C$34),0)</x:f>
        <x:v>10.004999999999999</x:v>
      </x:c>
      <x:c r="Z31" s="22" t="n">
        <x:f>IF(Z12&gt;0,Assumptions!$C$42*(1+Assumptions!$C$34),0)</x:f>
        <x:v>10.004999999999999</x:v>
      </x:c>
      <x:c r="AA31" s="2"/>
      <x:c r="AB31" s="2"/>
    </x:row>
    <x:row r="32" ht="22" customHeight="1">
      <x:c r="A32" s="2"/>
      <x:c r="B32" s="27" t="str">
        <x:v>Operating before income tax</x:v>
      </x:c>
      <x:c r="C32" s="28" t="n">
        <x:f>C23-C28-C29-C30-C31</x:f>
        <x:v>-47441.73181358695</x:v>
      </x:c>
      <x:c r="D32" s="28" t="n">
        <x:f>D23-D28-D29-D30-D31</x:f>
        <x:v>-47355.155607777175</x:v>
      </x:c>
      <x:c r="E32" s="28" t="n">
        <x:f>E23-E28-E29-E30-E31</x:f>
        <x:v>-47265.42649977533</x:v>
      </x:c>
      <x:c r="F32" s="28" t="n">
        <x:f>F23-F28-F29-F30-F31</x:f>
        <x:v>-47136.95087354691</x:v>
      </x:c>
      <x:c r="G32" s="28" t="n">
        <x:f>G23-G28-G29-G30-G31</x:f>
        <x:v>-46979.72976622827</x:v>
      </x:c>
      <x:c r="H32" s="28" t="n">
        <x:f>H23-H28-H29-H30-H31</x:f>
        <x:v>-45776.38935568648</x:v>
      </x:c>
      <x:c r="I32" s="28" t="n">
        <x:f>I23-I28-I29-I30-I31</x:f>
        <x:v>-39634.71858035841</x:v>
      </x:c>
      <x:c r="J32" s="28" t="n">
        <x:f>J23-J28-J29-J30-J31</x:f>
        <x:v>-39427.72563464969</x:v>
      </x:c>
      <x:c r="K32" s="28" t="n">
        <x:f>K23-K28-K29-K30-K31</x:f>
        <x:v>-38061.45863232805</x:v>
      </x:c>
      <x:c r="L32" s="28" t="n">
        <x:f>L23-L28-L29-L30-L31</x:f>
        <x:v>-31842.66153836937</x:v>
      </x:c>
      <x:c r="M32" s="28" t="n">
        <x:f>M23-M28-M29-M30-M31</x:f>
        <x:v>-31514.54643748838</x:v>
      </x:c>
      <x:c r="N32" s="28" t="n">
        <x:f>N23-N28-N29-N30-N31</x:f>
        <x:v>-30282.583048979894</x:v>
      </x:c>
      <x:c r="O32" s="28" t="n">
        <x:f>O23-O28-O29-O30-O31</x:f>
        <x:v>-23899.809144156567</x:v>
      </x:c>
      <x:c r="P32" s="28" t="n">
        <x:f>P23-P28-P29-P30-P31</x:f>
        <x:v>-23528.833383572703</x:v>
      </x:c>
      <x:c r="Q32" s="28" t="n">
        <x:f>Q23-Q28-Q29-Q30-Q31</x:f>
        <x:v>-22319.0607122795</x:v>
      </x:c>
      <x:c r="R32" s="28" t="n">
        <x:f>R23-R28-R29-R30-R31</x:f>
        <x:v>-15850.895892637438</x:v>
      </x:c>
      <x:c r="S32" s="28" t="n">
        <x:f>S23-S28-S29-S30-S31</x:f>
        <x:v>-15212.829213294435</x:v>
      </x:c>
      <x:c r="T32" s="28" t="n">
        <x:f>T23-T28-T29-T30-T31</x:f>
        <x:v>-13631.506677092571</x:v>
      </x:c>
      <x:c r="U32" s="28" t="n">
        <x:f>U23-U28-U29-U30-U31</x:f>
        <x:v>-6868.244564202522</x:v>
      </x:c>
      <x:c r="V32" s="28" t="n">
        <x:f>V23-V28-V29-V30-V31</x:f>
        <x:v>-6069.593583666708</x:v>
      </x:c>
      <x:c r="W32" s="28" t="n">
        <x:f>W23-W28-W29-W30-W31</x:f>
        <x:v>-4387.241739240718</x:v>
      </x:c>
      <x:c r="X32" s="28" t="n">
        <x:f>X23-X28-X29-X30-X31</x:f>
        <x:v>2577.169817186751</x:v>
      </x:c>
      <x:c r="Y32" s="28" t="n">
        <x:f>Y23-Y28-Y29-Y30-Y31</x:f>
        <x:v>3745.738870516424</x:v>
      </x:c>
      <x:c r="Z32" s="28" t="n">
        <x:f>Z23-Z28-Z29-Z30-Z31</x:f>
        <x:v>5904.844231408778</x:v>
      </x:c>
      <x:c r="AA32" s="2"/>
      <x:c r="AB32" s="2"/>
    </x:row>
    <x:row r="33" ht="22" customHeight="1">
      <x:c r="A33" s="2"/>
      <x:c r="B33" s="2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  <x:c r="AA33" s="2"/>
      <x:c r="AB33" s="2"/>
    </x:row>
    <x:row r="34" ht="22" customHeight="1">
      <x:c r="A34" s="2"/>
      <x:c r="B34" s="2" t="str">
        <x:v>Institution annual invoices ex VAT</x:v>
      </x:c>
      <x:c r="C34" s="22" t="n">
        <x:f>(C14+C16)*Assumptions!$C$16*Assumptions!$C$17*12+C22</x:f>
        <x:v>0</x:v>
      </x:c>
      <x:c r="D34" s="22" t="n">
        <x:f>(D14+D16)*Assumptions!$C$16*Assumptions!$C$17*12+D22</x:f>
        <x:v>0</x:v>
      </x:c>
      <x:c r="E34" s="22" t="n">
        <x:f>(E14+E16)*Assumptions!$C$16*Assumptions!$C$17*12+E22</x:f>
        <x:v>0</x:v>
      </x:c>
      <x:c r="F34" s="22" t="n">
        <x:f>(F14+F16)*Assumptions!$C$16*Assumptions!$C$17*12+F22</x:f>
        <x:v>0</x:v>
      </x:c>
      <x:c r="G34" s="22" t="n">
        <x:f>(G14+G16)*Assumptions!$C$16*Assumptions!$C$17*12+G22</x:f>
        <x:v>0</x:v>
      </x:c>
      <x:c r="H34" s="22" t="n">
        <x:f>(H14+H16)*Assumptions!$C$16*Assumptions!$C$17*12+H22</x:f>
        <x:v>111000</x:v>
      </x:c>
      <x:c r="I34" s="22" t="n">
        <x:f>(I14+I16)*Assumptions!$C$16*Assumptions!$C$17*12+I22</x:f>
        <x:v>0</x:v>
      </x:c>
      <x:c r="J34" s="22" t="n">
        <x:f>(J14+J16)*Assumptions!$C$16*Assumptions!$C$17*12+J22</x:f>
        <x:v>0</x:v>
      </x:c>
      <x:c r="K34" s="22" t="n">
        <x:f>(K14+K16)*Assumptions!$C$16*Assumptions!$C$17*12+K22</x:f>
        <x:v>111000</x:v>
      </x:c>
      <x:c r="L34" s="22" t="n">
        <x:f>(L14+L16)*Assumptions!$C$16*Assumptions!$C$17*12+L22</x:f>
        <x:v>0</x:v>
      </x:c>
      <x:c r="M34" s="22" t="n">
        <x:f>(M14+M16)*Assumptions!$C$16*Assumptions!$C$17*12+M22</x:f>
        <x:v>0</x:v>
      </x:c>
      <x:c r="N34" s="22" t="n">
        <x:f>(N14+N16)*Assumptions!$C$16*Assumptions!$C$17*12+N22</x:f>
        <x:v>111000</x:v>
      </x:c>
      <x:c r="O34" s="22" t="n">
        <x:f>(O14+O16)*Assumptions!$C$16*Assumptions!$C$17*12+O22</x:f>
        <x:v>0</x:v>
      </x:c>
      <x:c r="P34" s="22" t="n">
        <x:f>(P14+P16)*Assumptions!$C$16*Assumptions!$C$17*12+P22</x:f>
        <x:v>0</x:v>
      </x:c>
      <x:c r="Q34" s="22" t="n">
        <x:f>(Q14+Q16)*Assumptions!$C$16*Assumptions!$C$17*12+Q22</x:f>
        <x:v>111000</x:v>
      </x:c>
      <x:c r="R34" s="22" t="n">
        <x:f>(R14+R16)*Assumptions!$C$16*Assumptions!$C$17*12+R22</x:f>
        <x:v>0</x:v>
      </x:c>
      <x:c r="S34" s="22" t="n">
        <x:f>(S14+S16)*Assumptions!$C$16*Assumptions!$C$17*12+S22</x:f>
        <x:v>0</x:v>
      </x:c>
      <x:c r="T34" s="22" t="n">
        <x:f>(T14+T16)*Assumptions!$C$16*Assumptions!$C$17*12+T22</x:f>
        <x:v>216000</x:v>
      </x:c>
      <x:c r="U34" s="22" t="n">
        <x:f>(U14+U16)*Assumptions!$C$16*Assumptions!$C$17*12+U22</x:f>
        <x:v>0</x:v>
      </x:c>
      <x:c r="V34" s="22" t="n">
        <x:f>(V14+V16)*Assumptions!$C$16*Assumptions!$C$17*12+V22</x:f>
        <x:v>0</x:v>
      </x:c>
      <x:c r="W34" s="22" t="n">
        <x:f>(W14+W16)*Assumptions!$C$16*Assumptions!$C$17*12+W22</x:f>
        <x:v>216000</x:v>
      </x:c>
      <x:c r="X34" s="22" t="n">
        <x:f>(X14+X16)*Assumptions!$C$16*Assumptions!$C$17*12+X22</x:f>
        <x:v>0</x:v>
      </x:c>
      <x:c r="Y34" s="22" t="n">
        <x:f>(Y14+Y16)*Assumptions!$C$16*Assumptions!$C$17*12+Y22</x:f>
        <x:v>0</x:v>
      </x:c>
      <x:c r="Z34" s="22" t="n">
        <x:f>(Z14+Z16)*Assumptions!$C$16*Assumptions!$C$17*12+Z22</x:f>
        <x:v>216000</x:v>
      </x:c>
      <x:c r="AA34" s="2"/>
      <x:c r="AB34" s="2"/>
    </x:row>
    <x:row r="35" ht="22" customHeight="1">
      <x:c r="A35" s="2"/>
      <x:c r="B35" s="2" t="str">
        <x:v>Institution cash receipts ex VAT</x:v>
      </x:c>
      <x:c r="C35" s="22" t="n">
        <x:f>IF(C6&gt;Assumptions!$C$15,INDEX($C$34:$Z$34,1,MAX(1,C6-Assumptions!$C$15)),0)</x:f>
        <x:v>0</x:v>
      </x:c>
      <x:c r="D35" s="22" t="n">
        <x:f>IF(D6&gt;Assumptions!$C$15,INDEX($C$34:$Z$34,1,MAX(1,D6-Assumptions!$C$15)),0)</x:f>
        <x:v>0</x:v>
      </x:c>
      <x:c r="E35" s="22" t="n">
        <x:f>IF(E6&gt;Assumptions!$C$15,INDEX($C$34:$Z$34,1,MAX(1,E6-Assumptions!$C$15)),0)</x:f>
        <x:v>0</x:v>
      </x:c>
      <x:c r="F35" s="22" t="n">
        <x:f>IF(F6&gt;Assumptions!$C$15,INDEX($C$34:$Z$34,1,MAX(1,F6-Assumptions!$C$15)),0)</x:f>
        <x:v>0</x:v>
      </x:c>
      <x:c r="G35" s="22" t="n">
        <x:f>IF(G6&gt;Assumptions!$C$15,INDEX($C$34:$Z$34,1,MAX(1,G6-Assumptions!$C$15)),0)</x:f>
        <x:v>0</x:v>
      </x:c>
      <x:c r="H35" s="22" t="n">
        <x:f>IF(H6&gt;Assumptions!$C$15,INDEX($C$34:$Z$34,1,MAX(1,H6-Assumptions!$C$15)),0)</x:f>
        <x:v>0</x:v>
      </x:c>
      <x:c r="I35" s="22" t="n">
        <x:f>IF(I6&gt;Assumptions!$C$15,INDEX($C$34:$Z$34,1,MAX(1,I6-Assumptions!$C$15)),0)</x:f>
        <x:v>111000</x:v>
      </x:c>
      <x:c r="J35" s="22" t="n">
        <x:f>IF(J6&gt;Assumptions!$C$15,INDEX($C$34:$Z$34,1,MAX(1,J6-Assumptions!$C$15)),0)</x:f>
        <x:v>0</x:v>
      </x:c>
      <x:c r="K35" s="22" t="n">
        <x:f>IF(K6&gt;Assumptions!$C$15,INDEX($C$34:$Z$34,1,MAX(1,K6-Assumptions!$C$15)),0)</x:f>
        <x:v>0</x:v>
      </x:c>
      <x:c r="L35" s="22" t="n">
        <x:f>IF(L6&gt;Assumptions!$C$15,INDEX($C$34:$Z$34,1,MAX(1,L6-Assumptions!$C$15)),0)</x:f>
        <x:v>111000</x:v>
      </x:c>
      <x:c r="M35" s="22" t="n">
        <x:f>IF(M6&gt;Assumptions!$C$15,INDEX($C$34:$Z$34,1,MAX(1,M6-Assumptions!$C$15)),0)</x:f>
        <x:v>0</x:v>
      </x:c>
      <x:c r="N35" s="22" t="n">
        <x:f>IF(N6&gt;Assumptions!$C$15,INDEX($C$34:$Z$34,1,MAX(1,N6-Assumptions!$C$15)),0)</x:f>
        <x:v>0</x:v>
      </x:c>
      <x:c r="O35" s="22" t="n">
        <x:f>IF(O6&gt;Assumptions!$C$15,INDEX($C$34:$Z$34,1,MAX(1,O6-Assumptions!$C$15)),0)</x:f>
        <x:v>111000</x:v>
      </x:c>
      <x:c r="P35" s="22" t="n">
        <x:f>IF(P6&gt;Assumptions!$C$15,INDEX($C$34:$Z$34,1,MAX(1,P6-Assumptions!$C$15)),0)</x:f>
        <x:v>0</x:v>
      </x:c>
      <x:c r="Q35" s="22" t="n">
        <x:f>IF(Q6&gt;Assumptions!$C$15,INDEX($C$34:$Z$34,1,MAX(1,Q6-Assumptions!$C$15)),0)</x:f>
        <x:v>0</x:v>
      </x:c>
      <x:c r="R35" s="22" t="n">
        <x:f>IF(R6&gt;Assumptions!$C$15,INDEX($C$34:$Z$34,1,MAX(1,R6-Assumptions!$C$15)),0)</x:f>
        <x:v>111000</x:v>
      </x:c>
      <x:c r="S35" s="22" t="n">
        <x:f>IF(S6&gt;Assumptions!$C$15,INDEX($C$34:$Z$34,1,MAX(1,S6-Assumptions!$C$15)),0)</x:f>
        <x:v>0</x:v>
      </x:c>
      <x:c r="T35" s="22" t="n">
        <x:f>IF(T6&gt;Assumptions!$C$15,INDEX($C$34:$Z$34,1,MAX(1,T6-Assumptions!$C$15)),0)</x:f>
        <x:v>0</x:v>
      </x:c>
      <x:c r="U35" s="22" t="n">
        <x:f>IF(U6&gt;Assumptions!$C$15,INDEX($C$34:$Z$34,1,MAX(1,U6-Assumptions!$C$15)),0)</x:f>
        <x:v>216000</x:v>
      </x:c>
      <x:c r="V35" s="22" t="n">
        <x:f>IF(V6&gt;Assumptions!$C$15,INDEX($C$34:$Z$34,1,MAX(1,V6-Assumptions!$C$15)),0)</x:f>
        <x:v>0</x:v>
      </x:c>
      <x:c r="W35" s="22" t="n">
        <x:f>IF(W6&gt;Assumptions!$C$15,INDEX($C$34:$Z$34,1,MAX(1,W6-Assumptions!$C$15)),0)</x:f>
        <x:v>0</x:v>
      </x:c>
      <x:c r="X35" s="22" t="n">
        <x:f>IF(X6&gt;Assumptions!$C$15,INDEX($C$34:$Z$34,1,MAX(1,X6-Assumptions!$C$15)),0)</x:f>
        <x:v>216000</x:v>
      </x:c>
      <x:c r="Y35" s="22" t="n">
        <x:f>IF(Y6&gt;Assumptions!$C$15,INDEX($C$34:$Z$34,1,MAX(1,Y6-Assumptions!$C$15)),0)</x:f>
        <x:v>0</x:v>
      </x:c>
      <x:c r="Z35" s="22" t="n">
        <x:f>IF(Z6&gt;Assumptions!$C$15,INDEX($C$34:$Z$34,1,MAX(1,Z6-Assumptions!$C$15)),0)</x:f>
        <x:v>0</x:v>
      </x:c>
      <x:c r="AA35" s="2"/>
      <x:c r="AB35" s="2"/>
    </x:row>
    <x:row r="36" ht="22" customHeight="1">
      <x:c r="A36" s="2"/>
      <x:c r="B36" s="2" t="str">
        <x:v>Closing receivables ex VAT</x:v>
      </x:c>
      <x:c r="C36" s="23" t="n">
        <x:f>0+C34-C35</x:f>
        <x:v>0</x:v>
      </x:c>
      <x:c r="D36" s="23" t="n">
        <x:f>C36+D34-D35</x:f>
        <x:v>0</x:v>
      </x:c>
      <x:c r="E36" s="23" t="n">
        <x:f>D36+E34-E35</x:f>
        <x:v>0</x:v>
      </x:c>
      <x:c r="F36" s="23" t="n">
        <x:f>E36+F34-F35</x:f>
        <x:v>0</x:v>
      </x:c>
      <x:c r="G36" s="23" t="n">
        <x:f>F36+G34-G35</x:f>
        <x:v>0</x:v>
      </x:c>
      <x:c r="H36" s="23" t="n">
        <x:f>G36+H34-H35</x:f>
        <x:v>111000</x:v>
      </x:c>
      <x:c r="I36" s="23" t="n">
        <x:f>H36+I34-I35</x:f>
        <x:v>0</x:v>
      </x:c>
      <x:c r="J36" s="23" t="n">
        <x:f>I36+J34-J35</x:f>
        <x:v>0</x:v>
      </x:c>
      <x:c r="K36" s="23" t="n">
        <x:f>J36+K34-K35</x:f>
        <x:v>111000</x:v>
      </x:c>
      <x:c r="L36" s="23" t="n">
        <x:f>K36+L34-L35</x:f>
        <x:v>0</x:v>
      </x:c>
      <x:c r="M36" s="23" t="n">
        <x:f>L36+M34-M35</x:f>
        <x:v>0</x:v>
      </x:c>
      <x:c r="N36" s="23" t="n">
        <x:f>M36+N34-N35</x:f>
        <x:v>111000</x:v>
      </x:c>
      <x:c r="O36" s="23" t="n">
        <x:f>N36+O34-O35</x:f>
        <x:v>0</x:v>
      </x:c>
      <x:c r="P36" s="23" t="n">
        <x:f>O36+P34-P35</x:f>
        <x:v>0</x:v>
      </x:c>
      <x:c r="Q36" s="23" t="n">
        <x:f>P36+Q34-Q35</x:f>
        <x:v>111000</x:v>
      </x:c>
      <x:c r="R36" s="23" t="n">
        <x:f>Q36+R34-R35</x:f>
        <x:v>0</x:v>
      </x:c>
      <x:c r="S36" s="23" t="n">
        <x:f>R36+S34-S35</x:f>
        <x:v>0</x:v>
      </x:c>
      <x:c r="T36" s="23" t="n">
        <x:f>S36+T34-T35</x:f>
        <x:v>216000</x:v>
      </x:c>
      <x:c r="U36" s="23" t="n">
        <x:f>T36+U34-U35</x:f>
        <x:v>0</x:v>
      </x:c>
      <x:c r="V36" s="23" t="n">
        <x:f>U36+V34-V35</x:f>
        <x:v>0</x:v>
      </x:c>
      <x:c r="W36" s="23" t="n">
        <x:f>V36+W34-W35</x:f>
        <x:v>216000</x:v>
      </x:c>
      <x:c r="X36" s="23" t="n">
        <x:f>W36+X34-X35</x:f>
        <x:v>0</x:v>
      </x:c>
      <x:c r="Y36" s="23" t="n">
        <x:f>X36+Y34-Y35</x:f>
        <x:v>0</x:v>
      </x:c>
      <x:c r="Z36" s="23" t="n">
        <x:f>Y36+Z34-Z35</x:f>
        <x:v>216000</x:v>
      </x:c>
      <x:c r="AA36" s="2"/>
      <x:c r="AB36" s="2"/>
    </x:row>
    <x:row r="37" ht="22" customHeight="1">
      <x:c r="A37" s="2"/>
      <x:c r="B37" s="2" t="str">
        <x:v>Closing deferred licence revenue</x:v>
      </x:c>
      <x:c r="C37" s="22" t="n">
        <x:f>0+(C14+C16)*Assumptions!$C$16*Assumptions!$C$17*12-C21</x:f>
        <x:v>0</x:v>
      </x:c>
      <x:c r="D37" s="22" t="n">
        <x:f>C37+(D14+D16)*Assumptions!$C$16*Assumptions!$C$17*12-D21</x:f>
        <x:v>0</x:v>
      </x:c>
      <x:c r="E37" s="22" t="n">
        <x:f>D37+(E14+E16)*Assumptions!$C$16*Assumptions!$C$17*12-E21</x:f>
        <x:v>0</x:v>
      </x:c>
      <x:c r="F37" s="22" t="n">
        <x:f>E37+(F14+F16)*Assumptions!$C$16*Assumptions!$C$17*12-F21</x:f>
        <x:v>0</x:v>
      </x:c>
      <x:c r="G37" s="22" t="n">
        <x:f>F37+(G14+G16)*Assumptions!$C$16*Assumptions!$C$17*12-G21</x:f>
        <x:v>0</x:v>
      </x:c>
      <x:c r="H37" s="22" t="n">
        <x:f>G37+(H14+H16)*Assumptions!$C$16*Assumptions!$C$17*12-H21</x:f>
        <x:v>96250</x:v>
      </x:c>
      <x:c r="I37" s="22" t="n">
        <x:f>H37+(I14+I16)*Assumptions!$C$16*Assumptions!$C$17*12-I21</x:f>
        <x:v>87500</x:v>
      </x:c>
      <x:c r="J37" s="22" t="n">
        <x:f>I37+(J14+J16)*Assumptions!$C$16*Assumptions!$C$17*12-J21</x:f>
        <x:v>78750</x:v>
      </x:c>
      <x:c r="K37" s="22" t="n">
        <x:f>J37+(K14+K16)*Assumptions!$C$16*Assumptions!$C$17*12-K21</x:f>
        <x:v>166250</x:v>
      </x:c>
      <x:c r="L37" s="22" t="n">
        <x:f>K37+(L14+L16)*Assumptions!$C$16*Assumptions!$C$17*12-L21</x:f>
        <x:v>148750</x:v>
      </x:c>
      <x:c r="M37" s="22" t="n">
        <x:f>L37+(M14+M16)*Assumptions!$C$16*Assumptions!$C$17*12-M21</x:f>
        <x:v>131250</x:v>
      </x:c>
      <x:c r="N37" s="22" t="n">
        <x:f>M37+(N14+N16)*Assumptions!$C$16*Assumptions!$C$17*12-N21</x:f>
        <x:v>210000</x:v>
      </x:c>
      <x:c r="O37" s="22" t="n">
        <x:f>N37+(O14+O16)*Assumptions!$C$16*Assumptions!$C$17*12-O21</x:f>
        <x:v>183750</x:v>
      </x:c>
      <x:c r="P37" s="22" t="n">
        <x:f>O37+(P14+P16)*Assumptions!$C$16*Assumptions!$C$17*12-P21</x:f>
        <x:v>157500</x:v>
      </x:c>
      <x:c r="Q37" s="22" t="n">
        <x:f>P37+(Q14+Q16)*Assumptions!$C$16*Assumptions!$C$17*12-Q21</x:f>
        <x:v>227500</x:v>
      </x:c>
      <x:c r="R37" s="22" t="n">
        <x:f>Q37+(R14+R16)*Assumptions!$C$16*Assumptions!$C$17*12-R21</x:f>
        <x:v>192500</x:v>
      </x:c>
      <x:c r="S37" s="22" t="n">
        <x:f>R37+(S14+S16)*Assumptions!$C$16*Assumptions!$C$17*12-S21</x:f>
        <x:v>157500</x:v>
      </x:c>
      <x:c r="T37" s="22" t="n">
        <x:f>S37+(T14+T16)*Assumptions!$C$16*Assumptions!$C$17*12-T21</x:f>
        <x:v>323750</x:v>
      </x:c>
      <x:c r="U37" s="22" t="n">
        <x:f>T37+(U14+U16)*Assumptions!$C$16*Assumptions!$C$17*12-U21</x:f>
        <x:v>280000</x:v>
      </x:c>
      <x:c r="V37" s="22" t="n">
        <x:f>U37+(V14+V16)*Assumptions!$C$16*Assumptions!$C$17*12-V21</x:f>
        <x:v>236250</x:v>
      </x:c>
      <x:c r="W37" s="22" t="n">
        <x:f>V37+(W14+W16)*Assumptions!$C$16*Assumptions!$C$17*12-W21</x:f>
        <x:v>393750</x:v>
      </x:c>
      <x:c r="X37" s="22" t="n">
        <x:f>W37+(X14+X16)*Assumptions!$C$16*Assumptions!$C$17*12-X21</x:f>
        <x:v>341250</x:v>
      </x:c>
      <x:c r="Y37" s="22" t="n">
        <x:f>X37+(Y14+Y16)*Assumptions!$C$16*Assumptions!$C$17*12-Y21</x:f>
        <x:v>288750</x:v>
      </x:c>
      <x:c r="Z37" s="22" t="n">
        <x:f>Y37+(Z14+Z16)*Assumptions!$C$16*Assumptions!$C$17*12-Z21</x:f>
        <x:v>437500</x:v>
      </x:c>
      <x:c r="AA37" s="2"/>
      <x:c r="AB37" s="2"/>
    </x:row>
    <x:row r="38" ht="22" customHeight="1">
      <x:c r="A38" s="2"/>
      <x:c r="B38" s="2" t="str">
        <x:v>Fixed cash expense incl founder draw</x:v>
      </x:c>
      <x:c r="C38" s="22" t="n">
        <x:f>Assumptions!$C$30+IF(C6&lt;=3,0,IF(C6&lt;=6,15000,IF(C6&lt;=12,25000,Assumptions!$C$31)))</x:f>
        <x:v>15000</x:v>
      </x:c>
      <x:c r="D38" s="22" t="n">
        <x:f>Assumptions!$C$30+IF(D6&lt;=3,0,IF(D6&lt;=6,15000,IF(D6&lt;=12,25000,Assumptions!$C$31)))</x:f>
        <x:v>15000</x:v>
      </x:c>
      <x:c r="E38" s="22" t="n">
        <x:f>Assumptions!$C$30+IF(E6&lt;=3,0,IF(E6&lt;=6,15000,IF(E6&lt;=12,25000,Assumptions!$C$31)))</x:f>
        <x:v>15000</x:v>
      </x:c>
      <x:c r="F38" s="22" t="n">
        <x:f>Assumptions!$C$30+IF(F6&lt;=3,0,IF(F6&lt;=6,15000,IF(F6&lt;=12,25000,Assumptions!$C$31)))</x:f>
        <x:v>30000</x:v>
      </x:c>
      <x:c r="G38" s="22" t="n">
        <x:f>Assumptions!$C$30+IF(G6&lt;=3,0,IF(G6&lt;=6,15000,IF(G6&lt;=12,25000,Assumptions!$C$31)))</x:f>
        <x:v>30000</x:v>
      </x:c>
      <x:c r="H38" s="22" t="n">
        <x:f>Assumptions!$C$30+IF(H6&lt;=3,0,IF(H6&lt;=6,15000,IF(H6&lt;=12,25000,Assumptions!$C$31)))</x:f>
        <x:v>30000</x:v>
      </x:c>
      <x:c r="I38" s="22" t="n">
        <x:f>Assumptions!$C$30+IF(I6&lt;=3,0,IF(I6&lt;=6,15000,IF(I6&lt;=12,25000,Assumptions!$C$31)))</x:f>
        <x:v>40000</x:v>
      </x:c>
      <x:c r="J38" s="22" t="n">
        <x:f>Assumptions!$C$30+IF(J6&lt;=3,0,IF(J6&lt;=6,15000,IF(J6&lt;=12,25000,Assumptions!$C$31)))</x:f>
        <x:v>40000</x:v>
      </x:c>
      <x:c r="K38" s="22" t="n">
        <x:f>Assumptions!$C$30+IF(K6&lt;=3,0,IF(K6&lt;=6,15000,IF(K6&lt;=12,25000,Assumptions!$C$31)))</x:f>
        <x:v>40000</x:v>
      </x:c>
      <x:c r="L38" s="22" t="n">
        <x:f>Assumptions!$C$30+IF(L6&lt;=3,0,IF(L6&lt;=6,15000,IF(L6&lt;=12,25000,Assumptions!$C$31)))</x:f>
        <x:v>40000</x:v>
      </x:c>
      <x:c r="M38" s="22" t="n">
        <x:f>Assumptions!$C$30+IF(M6&lt;=3,0,IF(M6&lt;=6,15000,IF(M6&lt;=12,25000,Assumptions!$C$31)))</x:f>
        <x:v>40000</x:v>
      </x:c>
      <x:c r="N38" s="22" t="n">
        <x:f>Assumptions!$C$30+IF(N6&lt;=3,0,IF(N6&lt;=6,15000,IF(N6&lt;=12,25000,Assumptions!$C$31)))</x:f>
        <x:v>40000</x:v>
      </x:c>
      <x:c r="O38" s="22" t="n">
        <x:f>Assumptions!$C$30+IF(O6&lt;=3,0,IF(O6&lt;=6,15000,IF(O6&lt;=12,25000,Assumptions!$C$31)))</x:f>
        <x:v>45000</x:v>
      </x:c>
      <x:c r="P38" s="22" t="n">
        <x:f>Assumptions!$C$30+IF(P6&lt;=3,0,IF(P6&lt;=6,15000,IF(P6&lt;=12,25000,Assumptions!$C$31)))</x:f>
        <x:v>45000</x:v>
      </x:c>
      <x:c r="Q38" s="22" t="n">
        <x:f>Assumptions!$C$30+IF(Q6&lt;=3,0,IF(Q6&lt;=6,15000,IF(Q6&lt;=12,25000,Assumptions!$C$31)))</x:f>
        <x:v>45000</x:v>
      </x:c>
      <x:c r="R38" s="22" t="n">
        <x:f>Assumptions!$C$30+IF(R6&lt;=3,0,IF(R6&lt;=6,15000,IF(R6&lt;=12,25000,Assumptions!$C$31)))</x:f>
        <x:v>45000</x:v>
      </x:c>
      <x:c r="S38" s="22" t="n">
        <x:f>Assumptions!$C$30+IF(S6&lt;=3,0,IF(S6&lt;=6,15000,IF(S6&lt;=12,25000,Assumptions!$C$31)))</x:f>
        <x:v>45000</x:v>
      </x:c>
      <x:c r="T38" s="22" t="n">
        <x:f>Assumptions!$C$30+IF(T6&lt;=3,0,IF(T6&lt;=6,15000,IF(T6&lt;=12,25000,Assumptions!$C$31)))</x:f>
        <x:v>45000</x:v>
      </x:c>
      <x:c r="U38" s="22" t="n">
        <x:f>Assumptions!$C$30+IF(U6&lt;=3,0,IF(U6&lt;=6,15000,IF(U6&lt;=12,25000,Assumptions!$C$31)))</x:f>
        <x:v>45000</x:v>
      </x:c>
      <x:c r="V38" s="22" t="n">
        <x:f>Assumptions!$C$30+IF(V6&lt;=3,0,IF(V6&lt;=6,15000,IF(V6&lt;=12,25000,Assumptions!$C$31)))</x:f>
        <x:v>45000</x:v>
      </x:c>
      <x:c r="W38" s="22" t="n">
        <x:f>Assumptions!$C$30+IF(W6&lt;=3,0,IF(W6&lt;=6,15000,IF(W6&lt;=12,25000,Assumptions!$C$31)))</x:f>
        <x:v>45000</x:v>
      </x:c>
      <x:c r="X38" s="22" t="n">
        <x:f>Assumptions!$C$30+IF(X6&lt;=3,0,IF(X6&lt;=6,15000,IF(X6&lt;=12,25000,Assumptions!$C$31)))</x:f>
        <x:v>45000</x:v>
      </x:c>
      <x:c r="Y38" s="22" t="n">
        <x:f>Assumptions!$C$30+IF(Y6&lt;=3,0,IF(Y6&lt;=6,15000,IF(Y6&lt;=12,25000,Assumptions!$C$31)))</x:f>
        <x:v>45000</x:v>
      </x:c>
      <x:c r="Z38" s="22" t="n">
        <x:f>Assumptions!$C$30+IF(Z6&lt;=3,0,IF(Z6&lt;=6,15000,IF(Z6&lt;=12,25000,Assumptions!$C$31)))</x:f>
        <x:v>45000</x:v>
      </x:c>
      <x:c r="AA38" s="2"/>
      <x:c r="AB38" s="2"/>
    </x:row>
    <x:row r="39" ht="22" customHeight="1">
      <x:c r="A39" s="2"/>
      <x:c r="B39" s="2" t="str">
        <x:v>Institution VAT timing burden</x:v>
      </x:c>
      <x:c r="C39" s="22" t="n">
        <x:f>(C35-C34)*Assumptions!$C$34*Assumptions!$C$45</x:f>
        <x:v>0</x:v>
      </x:c>
      <x:c r="D39" s="22" t="n">
        <x:f>(D35-D34)*Assumptions!$C$34*Assumptions!$C$45</x:f>
        <x:v>0</x:v>
      </x:c>
      <x:c r="E39" s="22" t="n">
        <x:f>(E35-E34)*Assumptions!$C$34*Assumptions!$C$45</x:f>
        <x:v>0</x:v>
      </x:c>
      <x:c r="F39" s="22" t="n">
        <x:f>(F35-F34)*Assumptions!$C$34*Assumptions!$C$45</x:f>
        <x:v>0</x:v>
      </x:c>
      <x:c r="G39" s="22" t="n">
        <x:f>(G35-G34)*Assumptions!$C$34*Assumptions!$C$45</x:f>
        <x:v>0</x:v>
      </x:c>
      <x:c r="H39" s="22" t="n">
        <x:f>(H35-H34)*Assumptions!$C$34*Assumptions!$C$45</x:f>
        <x:v>-16650</x:v>
      </x:c>
      <x:c r="I39" s="22" t="n">
        <x:f>(I35-I34)*Assumptions!$C$34*Assumptions!$C$45</x:f>
        <x:v>16650</x:v>
      </x:c>
      <x:c r="J39" s="22" t="n">
        <x:f>(J35-J34)*Assumptions!$C$34*Assumptions!$C$45</x:f>
        <x:v>0</x:v>
      </x:c>
      <x:c r="K39" s="22" t="n">
        <x:f>(K35-K34)*Assumptions!$C$34*Assumptions!$C$45</x:f>
        <x:v>-16650</x:v>
      </x:c>
      <x:c r="L39" s="22" t="n">
        <x:f>(L35-L34)*Assumptions!$C$34*Assumptions!$C$45</x:f>
        <x:v>16650</x:v>
      </x:c>
      <x:c r="M39" s="22" t="n">
        <x:f>(M35-M34)*Assumptions!$C$34*Assumptions!$C$45</x:f>
        <x:v>0</x:v>
      </x:c>
      <x:c r="N39" s="22" t="n">
        <x:f>(N35-N34)*Assumptions!$C$34*Assumptions!$C$45</x:f>
        <x:v>-16650</x:v>
      </x:c>
      <x:c r="O39" s="22" t="n">
        <x:f>(O35-O34)*Assumptions!$C$34*Assumptions!$C$45</x:f>
        <x:v>16650</x:v>
      </x:c>
      <x:c r="P39" s="22" t="n">
        <x:f>(P35-P34)*Assumptions!$C$34*Assumptions!$C$45</x:f>
        <x:v>0</x:v>
      </x:c>
      <x:c r="Q39" s="22" t="n">
        <x:f>(Q35-Q34)*Assumptions!$C$34*Assumptions!$C$45</x:f>
        <x:v>-16650</x:v>
      </x:c>
      <x:c r="R39" s="22" t="n">
        <x:f>(R35-R34)*Assumptions!$C$34*Assumptions!$C$45</x:f>
        <x:v>16650</x:v>
      </x:c>
      <x:c r="S39" s="22" t="n">
        <x:f>(S35-S34)*Assumptions!$C$34*Assumptions!$C$45</x:f>
        <x:v>0</x:v>
      </x:c>
      <x:c r="T39" s="22" t="n">
        <x:f>(T35-T34)*Assumptions!$C$34*Assumptions!$C$45</x:f>
        <x:v>-32400</x:v>
      </x:c>
      <x:c r="U39" s="22" t="n">
        <x:f>(U35-U34)*Assumptions!$C$34*Assumptions!$C$45</x:f>
        <x:v>32400</x:v>
      </x:c>
      <x:c r="V39" s="22" t="n">
        <x:f>(V35-V34)*Assumptions!$C$34*Assumptions!$C$45</x:f>
        <x:v>0</x:v>
      </x:c>
      <x:c r="W39" s="22" t="n">
        <x:f>(W35-W34)*Assumptions!$C$34*Assumptions!$C$45</x:f>
        <x:v>-32400</x:v>
      </x:c>
      <x:c r="X39" s="22" t="n">
        <x:f>(X35-X34)*Assumptions!$C$34*Assumptions!$C$45</x:f>
        <x:v>32400</x:v>
      </x:c>
      <x:c r="Y39" s="22" t="n">
        <x:f>(Y35-Y34)*Assumptions!$C$34*Assumptions!$C$45</x:f>
        <x:v>0</x:v>
      </x:c>
      <x:c r="Z39" s="22" t="n">
        <x:f>(Z35-Z34)*Assumptions!$C$34*Assumptions!$C$45</x:f>
        <x:v>-32400</x:v>
      </x:c>
      <x:c r="AA39" s="2"/>
      <x:c r="AB39" s="2"/>
    </x:row>
    <x:row r="40" ht="22" customHeight="1">
      <x:c r="A40" s="2"/>
      <x:c r="B40" s="2" t="str">
        <x:v>Net cash change incl initial setup</x:v>
      </x:c>
      <x:c r="C40" s="22" t="n">
        <x:f>C20+C35+C39-C28-C29-C38-C31-IF(C6=1,Assumptions!$C$33,0)</x:f>
        <x:v>-42441.73181358696</x:v>
      </x:c>
      <x:c r="D40" s="22" t="n">
        <x:f>D20+D35+D39-D28-D29-D38-D31-IF(D6=1,Assumptions!$C$33,0)</x:f>
        <x:v>-17355.155607777175</x:v>
      </x:c>
      <x:c r="E40" s="22" t="n">
        <x:f>E20+E35+E39-E28-E29-E38-E31-IF(E6=1,Assumptions!$C$33,0)</x:f>
        <x:v>-17265.426499775334</x:v>
      </x:c>
      <x:c r="F40" s="22" t="n">
        <x:f>F20+F35+F39-F28-F29-F38-F31-IF(F6=1,Assumptions!$C$33,0)</x:f>
        <x:v>-32136.950873546917</x:v>
      </x:c>
      <x:c r="G40" s="22" t="n">
        <x:f>G20+G35+G39-G28-G29-G38-G31-IF(G6=1,Assumptions!$C$33,0)</x:f>
        <x:v>-31979.729766228276</x:v>
      </x:c>
      <x:c r="H40" s="22" t="n">
        <x:f>H20+H35+H39-H28-H29-H38-H31-IF(H6=1,Assumptions!$C$33,0)</x:f>
        <x:v>-62176.38935568648</x:v>
      </x:c>
      <x:c r="I40" s="22" t="n">
        <x:f>I20+I35+I39-I28-I29-I38-I31-IF(I6=1,Assumptions!$C$33,0)</x:f>
        <x:v>84265.28141964159</x:v>
      </x:c>
      <x:c r="J40" s="22" t="n">
        <x:f>J20+J35+J39-J28-J29-J38-J31-IF(J6=1,Assumptions!$C$33,0)</x:f>
        <x:v>-43177.72563464969</x:v>
      </x:c>
      <x:c r="K40" s="22" t="n">
        <x:f>K20+K35+K39-K28-K29-K38-K31-IF(K6=1,Assumptions!$C$33,0)</x:f>
        <x:v>-73211.45863232805</x:v>
      </x:c>
      <x:c r="L40" s="22" t="n">
        <x:f>L20+L35+L39-L28-L29-L38-L31-IF(L6=1,Assumptions!$C$33,0)</x:f>
        <x:v>83307.33846163063</x:v>
      </x:c>
      <x:c r="M40" s="22" t="n">
        <x:f>M20+M35+M39-M28-M29-M38-M31-IF(M6=1,Assumptions!$C$33,0)</x:f>
        <x:v>-44014.546437488374</x:v>
      </x:c>
      <x:c r="N40" s="22" t="n">
        <x:f>N20+N35+N39-N28-N29-N38-N31-IF(N6=1,Assumptions!$C$33,0)</x:f>
        <x:v>-74182.5830489799</x:v>
      </x:c>
      <x:c r="O40" s="22" t="n">
        <x:f>O20+O35+O39-O28-O29-O38-O31-IF(O6=1,Assumptions!$C$33,0)</x:f>
        <x:v>77500.19085584344</x:v>
      </x:c>
      <x:c r="P40" s="22" t="n">
        <x:f>P20+P35+P39-P28-P29-P38-P31-IF(P6=1,Assumptions!$C$33,0)</x:f>
        <x:v>-49778.8333835727</x:v>
      </x:c>
      <x:c r="Q40" s="22" t="n">
        <x:f>Q20+Q35+Q39-Q28-Q29-Q38-Q31-IF(Q6=1,Assumptions!$C$33,0)</x:f>
        <x:v>-79969.0607122795</x:v>
      </x:c>
      <x:c r="R40" s="22" t="n">
        <x:f>R20+R35+R39-R28-R29-R38-R31-IF(R6=1,Assumptions!$C$33,0)</x:f>
        <x:v>76799.10410736257</x:v>
      </x:c>
      <x:c r="S40" s="22" t="n">
        <x:f>S20+S35+S39-S28-S29-S38-S31-IF(S6=1,Assumptions!$C$33,0)</x:f>
        <x:v>-50212.82921329443</x:v>
      </x:c>
      <x:c r="T40" s="22" t="n">
        <x:f>T20+T35+T39-T28-T29-T38-T31-IF(T6=1,Assumptions!$C$33,0)</x:f>
        <x:v>-95781.50667709258</x:v>
      </x:c>
      <x:c r="U40" s="22" t="n">
        <x:f>U20+U35+U39-U28-U29-U38-U31-IF(U6=1,Assumptions!$C$33,0)</x:f>
        <x:v>197781.75543579747</x:v>
      </x:c>
      <x:c r="V40" s="22" t="n">
        <x:f>V20+V35+V39-V28-V29-V38-V31-IF(V6=1,Assumptions!$C$33,0)</x:f>
        <x:v>-49819.5935836667</x:v>
      </x:c>
      <x:c r="W40" s="22" t="n">
        <x:f>W20+W35+W39-W28-W29-W38-W31-IF(W6=1,Assumptions!$C$33,0)</x:f>
        <x:v>-95287.24173924072</x:v>
      </x:c>
      <x:c r="X40" s="22" t="n">
        <x:f>X20+X35+X39-X28-X29-X38-X31-IF(X6=1,Assumptions!$C$33,0)</x:f>
        <x:v>198477.16981718678</x:v>
      </x:c>
      <x:c r="Y40" s="22" t="n">
        <x:f>Y20+Y35+Y39-Y28-Y29-Y38-Y31-IF(Y6=1,Assumptions!$C$33,0)</x:f>
        <x:v>-48754.26112948357</x:v>
      </x:c>
      <x:c r="Z40" s="22" t="n">
        <x:f>Z20+Z35+Z39-Z28-Z29-Z38-Z31-IF(Z6=1,Assumptions!$C$33,0)</x:f>
        <x:v>-93745.15576859123</x:v>
      </x:c>
      <x:c r="AA40" s="2"/>
      <x:c r="AB40" s="2"/>
    </x:row>
    <x:row r="41" ht="22" customHeight="1">
      <x:c r="A41" s="2"/>
      <x:c r="B41" s="27" t="str">
        <x:v>Cumulative cash before funding</x:v>
      </x:c>
      <x:c r="C41" s="28" t="n">
        <x:f>0+C40</x:f>
        <x:v>-42441.73181358696</x:v>
      </x:c>
      <x:c r="D41" s="28" t="n">
        <x:f>C41+D40</x:f>
        <x:v>-59796.88742136413</x:v>
      </x:c>
      <x:c r="E41" s="28" t="n">
        <x:f>D41+E40</x:f>
        <x:v>-77062.31392113946</x:v>
      </x:c>
      <x:c r="F41" s="28" t="n">
        <x:f>E41+F40</x:f>
        <x:v>-109199.26479468637</x:v>
      </x:c>
      <x:c r="G41" s="28" t="n">
        <x:f>F41+G40</x:f>
        <x:v>-141178.99456091464</x:v>
      </x:c>
      <x:c r="H41" s="28" t="n">
        <x:f>G41+H40</x:f>
        <x:v>-203355.38391660113</x:v>
      </x:c>
      <x:c r="I41" s="28" t="n">
        <x:f>H41+I40</x:f>
        <x:v>-119090.10249695955</x:v>
      </x:c>
      <x:c r="J41" s="28" t="n">
        <x:f>I41+J40</x:f>
        <x:v>-162267.82813160925</x:v>
      </x:c>
      <x:c r="K41" s="28" t="n">
        <x:f>J41+K40</x:f>
        <x:v>-235479.2867639373</x:v>
      </x:c>
      <x:c r="L41" s="28" t="n">
        <x:f>K41+L40</x:f>
        <x:v>-152171.94830230667</x:v>
      </x:c>
      <x:c r="M41" s="28" t="n">
        <x:f>L41+M40</x:f>
        <x:v>-196186.49473979505</x:v>
      </x:c>
      <x:c r="N41" s="28" t="n">
        <x:f>M41+N40</x:f>
        <x:v>-270369.077788775</x:v>
      </x:c>
      <x:c r="O41" s="28" t="n">
        <x:f>N41+O40</x:f>
        <x:v>-192868.88693293155</x:v>
      </x:c>
      <x:c r="P41" s="28" t="n">
        <x:f>O41+P40</x:f>
        <x:v>-242647.72031650424</x:v>
      </x:c>
      <x:c r="Q41" s="28" t="n">
        <x:f>P41+Q40</x:f>
        <x:v>-322616.78102878376</x:v>
      </x:c>
      <x:c r="R41" s="28" t="n">
        <x:f>Q41+R40</x:f>
        <x:v>-245817.6769214212</x:v>
      </x:c>
      <x:c r="S41" s="28" t="n">
        <x:f>R41+S40</x:f>
        <x:v>-296030.50613471563</x:v>
      </x:c>
      <x:c r="T41" s="28" t="n">
        <x:f>S41+T40</x:f>
        <x:v>-391812.0128118082</x:v>
      </x:c>
      <x:c r="U41" s="28" t="n">
        <x:f>T41+U40</x:f>
        <x:v>-194030.25737601073</x:v>
      </x:c>
      <x:c r="V41" s="28" t="n">
        <x:f>U41+V40</x:f>
        <x:v>-243849.85095967742</x:v>
      </x:c>
      <x:c r="W41" s="28" t="n">
        <x:f>V41+W40</x:f>
        <x:v>-339137.09269891813</x:v>
      </x:c>
      <x:c r="X41" s="28" t="n">
        <x:f>W41+X40</x:f>
        <x:v>-140659.92288173136</x:v>
      </x:c>
      <x:c r="Y41" s="28" t="n">
        <x:f>X41+Y40</x:f>
        <x:v>-189414.18401121494</x:v>
      </x:c>
      <x:c r="Z41" s="28" t="n">
        <x:f>Y41+Z40</x:f>
        <x:v>-283159.33977980615</x:v>
      </x:c>
      <x:c r="AA41" s="2"/>
      <x:c r="AB41" s="2"/>
    </x:row>
    <x:row r="42" ht="22" customHeight="1">
      <x:c r="A42" s="2"/>
      <x:c r="B42" s="2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  <x:c r="AA42" s="2"/>
      <x:c r="AB42" s="2"/>
    </x:row>
    <x:row r="43" ht="22" customHeight="1">
      <x:c r="A43" s="2"/>
      <x:c r="B43" s="2" t="str">
        <x:v>Revenue reconciliation</x:v>
      </x:c>
      <x:c r="C43" s="23" t="n">
        <x:f>C23-SUM(C20:C22)</x:f>
        <x:v>0</x:v>
      </x:c>
      <x:c r="D43" s="23" t="n">
        <x:f>D23-SUM(D20:D22)</x:f>
        <x:v>0</x:v>
      </x:c>
      <x:c r="E43" s="23" t="n">
        <x:f>E23-SUM(E20:E22)</x:f>
        <x:v>0</x:v>
      </x:c>
      <x:c r="F43" s="23" t="n">
        <x:f>F23-SUM(F20:F22)</x:f>
        <x:v>0</x:v>
      </x:c>
      <x:c r="G43" s="23" t="n">
        <x:f>G23-SUM(G20:G22)</x:f>
        <x:v>0</x:v>
      </x:c>
      <x:c r="H43" s="23" t="n">
        <x:f>H23-SUM(H20:H22)</x:f>
        <x:v>0</x:v>
      </x:c>
      <x:c r="I43" s="23" t="n">
        <x:f>I23-SUM(I20:I22)</x:f>
        <x:v>0</x:v>
      </x:c>
      <x:c r="J43" s="23" t="n">
        <x:f>J23-SUM(J20:J22)</x:f>
        <x:v>0</x:v>
      </x:c>
      <x:c r="K43" s="23" t="n">
        <x:f>K23-SUM(K20:K22)</x:f>
        <x:v>0</x:v>
      </x:c>
      <x:c r="L43" s="23" t="n">
        <x:f>L23-SUM(L20:L22)</x:f>
        <x:v>0</x:v>
      </x:c>
      <x:c r="M43" s="23" t="n">
        <x:f>M23-SUM(M20:M22)</x:f>
        <x:v>0</x:v>
      </x:c>
      <x:c r="N43" s="23" t="n">
        <x:f>N23-SUM(N20:N22)</x:f>
        <x:v>0</x:v>
      </x:c>
      <x:c r="O43" s="23" t="n">
        <x:f>O23-SUM(O20:O22)</x:f>
        <x:v>0</x:v>
      </x:c>
      <x:c r="P43" s="23" t="n">
        <x:f>P23-SUM(P20:P22)</x:f>
        <x:v>0</x:v>
      </x:c>
      <x:c r="Q43" s="23" t="n">
        <x:f>Q23-SUM(Q20:Q22)</x:f>
        <x:v>0</x:v>
      </x:c>
      <x:c r="R43" s="23" t="n">
        <x:f>R23-SUM(R20:R22)</x:f>
        <x:v>0</x:v>
      </x:c>
      <x:c r="S43" s="23" t="n">
        <x:f>S23-SUM(S20:S22)</x:f>
        <x:v>0</x:v>
      </x:c>
      <x:c r="T43" s="23" t="n">
        <x:f>T23-SUM(T20:T22)</x:f>
        <x:v>0</x:v>
      </x:c>
      <x:c r="U43" s="23" t="n">
        <x:f>U23-SUM(U20:U22)</x:f>
        <x:v>0</x:v>
      </x:c>
      <x:c r="V43" s="23" t="n">
        <x:f>V23-SUM(V20:V22)</x:f>
        <x:v>0</x:v>
      </x:c>
      <x:c r="W43" s="23" t="n">
        <x:f>W23-SUM(W20:W22)</x:f>
        <x:v>0</x:v>
      </x:c>
      <x:c r="X43" s="23" t="n">
        <x:f>X23-SUM(X20:X22)</x:f>
        <x:v>0</x:v>
      </x:c>
      <x:c r="Y43" s="23" t="n">
        <x:f>Y23-SUM(Y20:Y22)</x:f>
        <x:v>0</x:v>
      </x:c>
      <x:c r="Z43" s="23" t="n">
        <x:f>Z23-SUM(Z20:Z22)</x:f>
        <x:v>0</x:v>
      </x:c>
      <x:c r="AA43" s="2"/>
      <x:c r="AB43" s="2"/>
    </x:row>
    <x:row r="44" ht="22" customHeight="1">
      <x:c r="A44" s="2"/>
      <x:c r="B44" s="2" t="str">
        <x:v>Receivables reconciliation</x:v>
      </x:c>
      <x:c r="C44" s="23" t="n">
        <x:f>C36-0-C34+C35</x:f>
        <x:v>0</x:v>
      </x:c>
      <x:c r="D44" s="23" t="n">
        <x:f>D36-C36-D34+D35</x:f>
        <x:v>0</x:v>
      </x:c>
      <x:c r="E44" s="23" t="n">
        <x:f>E36-D36-E34+E35</x:f>
        <x:v>0</x:v>
      </x:c>
      <x:c r="F44" s="23" t="n">
        <x:f>F36-E36-F34+F35</x:f>
        <x:v>0</x:v>
      </x:c>
      <x:c r="G44" s="23" t="n">
        <x:f>G36-F36-G34+G35</x:f>
        <x:v>0</x:v>
      </x:c>
      <x:c r="H44" s="23" t="n">
        <x:f>H36-G36-H34+H35</x:f>
        <x:v>0</x:v>
      </x:c>
      <x:c r="I44" s="23" t="n">
        <x:f>I36-H36-I34+I35</x:f>
        <x:v>0</x:v>
      </x:c>
      <x:c r="J44" s="23" t="n">
        <x:f>J36-I36-J34+J35</x:f>
        <x:v>0</x:v>
      </x:c>
      <x:c r="K44" s="23" t="n">
        <x:f>K36-J36-K34+K35</x:f>
        <x:v>0</x:v>
      </x:c>
      <x:c r="L44" s="23" t="n">
        <x:f>L36-K36-L34+L35</x:f>
        <x:v>0</x:v>
      </x:c>
      <x:c r="M44" s="23" t="n">
        <x:f>M36-L36-M34+M35</x:f>
        <x:v>0</x:v>
      </x:c>
      <x:c r="N44" s="23" t="n">
        <x:f>N36-M36-N34+N35</x:f>
        <x:v>0</x:v>
      </x:c>
      <x:c r="O44" s="23" t="n">
        <x:f>O36-N36-O34+O35</x:f>
        <x:v>0</x:v>
      </x:c>
      <x:c r="P44" s="23" t="n">
        <x:f>P36-O36-P34+P35</x:f>
        <x:v>0</x:v>
      </x:c>
      <x:c r="Q44" s="23" t="n">
        <x:f>Q36-P36-Q34+Q35</x:f>
        <x:v>0</x:v>
      </x:c>
      <x:c r="R44" s="23" t="n">
        <x:f>R36-Q36-R34+R35</x:f>
        <x:v>0</x:v>
      </x:c>
      <x:c r="S44" s="23" t="n">
        <x:f>S36-R36-S34+S35</x:f>
        <x:v>0</x:v>
      </x:c>
      <x:c r="T44" s="23" t="n">
        <x:f>T36-S36-T34+T35</x:f>
        <x:v>0</x:v>
      </x:c>
      <x:c r="U44" s="23" t="n">
        <x:f>U36-T36-U34+U35</x:f>
        <x:v>0</x:v>
      </x:c>
      <x:c r="V44" s="23" t="n">
        <x:f>V36-U36-V34+V35</x:f>
        <x:v>0</x:v>
      </x:c>
      <x:c r="W44" s="23" t="n">
        <x:f>W36-V36-W34+W35</x:f>
        <x:v>0</x:v>
      </x:c>
      <x:c r="X44" s="23" t="n">
        <x:f>X36-W36-X34+X35</x:f>
        <x:v>0</x:v>
      </x:c>
      <x:c r="Y44" s="23" t="n">
        <x:f>Y36-X36-Y34+Y35</x:f>
        <x:v>0</x:v>
      </x:c>
      <x:c r="Z44" s="23" t="n">
        <x:f>Z36-Y36-Z34+Z35</x:f>
        <x:v>0</x:v>
      </x:c>
      <x:c r="AA44" s="2"/>
      <x:c r="AB44" s="2"/>
    </x:row>
    <x:row r="45" ht="22" customHeight="1">
      <x:c r="A45" s="2"/>
      <x:c r="B45" s="2" t="str">
        <x:v>Deferred revenue reconciliation</x:v>
      </x:c>
      <x:c r="C45" s="22" t="n">
        <x:f>C37-0-(C14+C16)*Assumptions!$C$16*Assumptions!$C$17*12+C21</x:f>
        <x:v>0</x:v>
      </x:c>
      <x:c r="D45" s="22" t="n">
        <x:f>D37-C37-(D14+D16)*Assumptions!$C$16*Assumptions!$C$17*12+D21</x:f>
        <x:v>0</x:v>
      </x:c>
      <x:c r="E45" s="22" t="n">
        <x:f>E37-D37-(E14+E16)*Assumptions!$C$16*Assumptions!$C$17*12+E21</x:f>
        <x:v>0</x:v>
      </x:c>
      <x:c r="F45" s="22" t="n">
        <x:f>F37-E37-(F14+F16)*Assumptions!$C$16*Assumptions!$C$17*12+F21</x:f>
        <x:v>0</x:v>
      </x:c>
      <x:c r="G45" s="22" t="n">
        <x:f>G37-F37-(G14+G16)*Assumptions!$C$16*Assumptions!$C$17*12+G21</x:f>
        <x:v>0</x:v>
      </x:c>
      <x:c r="H45" s="22" t="n">
        <x:f>H37-G37-(H14+H16)*Assumptions!$C$16*Assumptions!$C$17*12+H21</x:f>
        <x:v>0</x:v>
      </x:c>
      <x:c r="I45" s="22" t="n">
        <x:f>I37-H37-(I14+I16)*Assumptions!$C$16*Assumptions!$C$17*12+I21</x:f>
        <x:v>0</x:v>
      </x:c>
      <x:c r="J45" s="22" t="n">
        <x:f>J37-I37-(J14+J16)*Assumptions!$C$16*Assumptions!$C$17*12+J21</x:f>
        <x:v>0</x:v>
      </x:c>
      <x:c r="K45" s="22" t="n">
        <x:f>K37-J37-(K14+K16)*Assumptions!$C$16*Assumptions!$C$17*12+K21</x:f>
        <x:v>0</x:v>
      </x:c>
      <x:c r="L45" s="22" t="n">
        <x:f>L37-K37-(L14+L16)*Assumptions!$C$16*Assumptions!$C$17*12+L21</x:f>
        <x:v>0</x:v>
      </x:c>
      <x:c r="M45" s="22" t="n">
        <x:f>M37-L37-(M14+M16)*Assumptions!$C$16*Assumptions!$C$17*12+M21</x:f>
        <x:v>0</x:v>
      </x:c>
      <x:c r="N45" s="22" t="n">
        <x:f>N37-M37-(N14+N16)*Assumptions!$C$16*Assumptions!$C$17*12+N21</x:f>
        <x:v>0</x:v>
      </x:c>
      <x:c r="O45" s="22" t="n">
        <x:f>O37-N37-(O14+O16)*Assumptions!$C$16*Assumptions!$C$17*12+O21</x:f>
        <x:v>0</x:v>
      </x:c>
      <x:c r="P45" s="22" t="n">
        <x:f>P37-O37-(P14+P16)*Assumptions!$C$16*Assumptions!$C$17*12+P21</x:f>
        <x:v>0</x:v>
      </x:c>
      <x:c r="Q45" s="22" t="n">
        <x:f>Q37-P37-(Q14+Q16)*Assumptions!$C$16*Assumptions!$C$17*12+Q21</x:f>
        <x:v>0</x:v>
      </x:c>
      <x:c r="R45" s="22" t="n">
        <x:f>R37-Q37-(R14+R16)*Assumptions!$C$16*Assumptions!$C$17*12+R21</x:f>
        <x:v>0</x:v>
      </x:c>
      <x:c r="S45" s="22" t="n">
        <x:f>S37-R37-(S14+S16)*Assumptions!$C$16*Assumptions!$C$17*12+S21</x:f>
        <x:v>0</x:v>
      </x:c>
      <x:c r="T45" s="22" t="n">
        <x:f>T37-S37-(T14+T16)*Assumptions!$C$16*Assumptions!$C$17*12+T21</x:f>
        <x:v>0</x:v>
      </x:c>
      <x:c r="U45" s="22" t="n">
        <x:f>U37-T37-(U14+U16)*Assumptions!$C$16*Assumptions!$C$17*12+U21</x:f>
        <x:v>0</x:v>
      </x:c>
      <x:c r="V45" s="22" t="n">
        <x:f>V37-U37-(V14+V16)*Assumptions!$C$16*Assumptions!$C$17*12+V21</x:f>
        <x:v>0</x:v>
      </x:c>
      <x:c r="W45" s="22" t="n">
        <x:f>W37-V37-(W14+W16)*Assumptions!$C$16*Assumptions!$C$17*12+W21</x:f>
        <x:v>0</x:v>
      </x:c>
      <x:c r="X45" s="22" t="n">
        <x:f>X37-W37-(X14+X16)*Assumptions!$C$16*Assumptions!$C$17*12+X21</x:f>
        <x:v>0</x:v>
      </x:c>
      <x:c r="Y45" s="22" t="n">
        <x:f>Y37-X37-(Y14+Y16)*Assumptions!$C$16*Assumptions!$C$17*12+Y21</x:f>
        <x:v>0</x:v>
      </x:c>
      <x:c r="Z45" s="22" t="n">
        <x:f>Z37-Y37-(Z14+Z16)*Assumptions!$C$16*Assumptions!$C$17*12+Z21</x:f>
        <x:v>0</x:v>
      </x:c>
      <x:c r="AA45" s="2"/>
      <x:c r="AB45" s="2"/>
    </x:row>
    <x:row r="46" ht="22" customHeight="1">
      <x:c r="A46" s="2"/>
      <x:c r="B46" s="2" t="str">
        <x:v>Cash reconciliation</x:v>
      </x:c>
      <x:c r="C46" s="23" t="n">
        <x:f>C41-0-C40</x:f>
        <x:v>0</x:v>
      </x:c>
      <x:c r="D46" s="23" t="n">
        <x:f>D41-C41-D40</x:f>
        <x:v>0</x:v>
      </x:c>
      <x:c r="E46" s="23" t="n">
        <x:f>E41-D41-E40</x:f>
        <x:v>7.275957614183426e-12</x:v>
      </x:c>
      <x:c r="F46" s="23" t="n">
        <x:f>F41-E41-F40</x:f>
        <x:v>3.637978807091713e-12</x:v>
      </x:c>
      <x:c r="G46" s="23" t="n">
        <x:f>G41-F41-G40</x:f>
        <x:v>1.0913936421275139e-11</x:v>
      </x:c>
      <x:c r="H46" s="23" t="n">
        <x:f>H41-G41-H40</x:f>
        <x:v>-1.4551915228366852e-11</x:v>
      </x:c>
      <x:c r="I46" s="23" t="n">
        <x:f>I41-H41-I40</x:f>
        <x:v>0</x:v>
      </x:c>
      <x:c r="J46" s="23" t="n">
        <x:f>J41-I41-J40</x:f>
        <x:v>-1.4551915228366852e-11</x:v>
      </x:c>
      <x:c r="K46" s="23" t="n">
        <x:f>K41-J41-K40</x:f>
        <x:v>0</x:v>
      </x:c>
      <x:c r="L46" s="23" t="n">
        <x:f>L41-K41-L40</x:f>
        <x:v>0</x:v>
      </x:c>
      <x:c r="M46" s="23" t="n">
        <x:f>M41-L41-M40</x:f>
        <x:v>0</x:v>
      </x:c>
      <x:c r="N46" s="23" t="n">
        <x:f>N41-M41-N40</x:f>
        <x:v>-2.9103830456733704e-11</x:v>
      </x:c>
      <x:c r="O46" s="23" t="n">
        <x:f>O41-N41-O40</x:f>
        <x:v>-1.4551915228366852e-11</x:v>
      </x:c>
      <x:c r="P46" s="23" t="n">
        <x:f>P41-O41-P40</x:f>
        <x:v>7.275957614183426e-12</x:v>
      </x:c>
      <x:c r="Q46" s="23" t="n">
        <x:f>Q41-P41-Q40</x:f>
        <x:v>-1.4551915228366852e-11</x:v>
      </x:c>
      <x:c r="R46" s="23" t="n">
        <x:f>R41-Q41-R40</x:f>
        <x:v>0</x:v>
      </x:c>
      <x:c r="S46" s="23" t="n">
        <x:f>S41-R41-S40</x:f>
        <x:v>0</x:v>
      </x:c>
      <x:c r="T46" s="23" t="n">
        <x:f>T41-S41-T40</x:f>
        <x:v>0</x:v>
      </x:c>
      <x:c r="U46" s="23" t="n">
        <x:f>U41-T41-U40</x:f>
        <x:v>0</x:v>
      </x:c>
      <x:c r="V46" s="23" t="n">
        <x:f>V41-U41-V40</x:f>
        <x:v>7.275957614183426e-12</x:v>
      </x:c>
      <x:c r="W46" s="23" t="n">
        <x:f>W41-V41-W40</x:f>
        <x:v>1.4551915228366852e-11</x:v>
      </x:c>
      <x:c r="X46" s="23" t="n">
        <x:f>X41-W41-X40</x:f>
        <x:v>0</x:v>
      </x:c>
      <x:c r="Y46" s="23" t="n">
        <x:f>Y41-X41-Y40</x:f>
        <x:v>-7.275957614183426e-12</x:v>
      </x:c>
      <x:c r="Z46" s="23" t="n">
        <x:f>Z41-Y41-Z40</x:f>
        <x:v>1.4551915228366852e-11</x:v>
      </x:c>
      <x:c r="AA46" s="2"/>
      <x:c r="AB46" s="2"/>
    </x:row>
    <x:row r="47" ht="22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</x:row>
    <x:row r="48" ht="22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</x:row>
    <x:row r="49" ht="22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</x:row>
    <x:row r="50" ht="22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</x:row>
    <x:row r="51" ht="22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</x:row>
    <x:row r="52" ht="22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</x:row>
    <x:row r="53" ht="22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</x:row>
    <x:row r="54" ht="22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</x:row>
    <x:row r="55" ht="22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</x:row>
    <x:row r="56" ht="22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</x:row>
    <x:row r="57" ht="22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</x:row>
    <x:row r="58" ht="22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</x:row>
    <x:row r="59" ht="22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</x:row>
    <x:row r="60" ht="22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</x:row>
    <x:row r="61" ht="22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</x:row>
    <x:row r="62" ht="22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</x:row>
    <x:row r="63" ht="22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</x:row>
    <x:row r="64" ht="22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</x:row>
    <x:row r="65" ht="22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</x:row>
    <x:row r="66" ht="22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</x:row>
    <x:row r="67" ht="22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</x:row>
    <x:row r="68" ht="22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</x:row>
    <x:row r="69" ht="22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</x:row>
    <x:row r="70" ht="22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</x:row>
    <x:row r="71" ht="22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</x:row>
    <x:row r="72" ht="22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</x:row>
    <x:row r="73" ht="22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</x:row>
    <x:row r="75" ht="22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</x:row>
    <x:row r="76" ht="22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</x:row>
    <x:row r="77" ht="22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</x:row>
    <x:row r="80" ht="22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</x:row>
    <x:row r="81" ht="22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</x:row>
    <x:row r="82" ht="22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</x:row>
    <x:row r="83" ht="22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</x:row>
    <x:row r="84" ht="22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</x:row>
    <x:row r="85" ht="22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</x:row>
  </x:sheetData>
  <x:mergeCells>
    <x:mergeCell ref="B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9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</x:cols>
  <x:sheetData>
    <x:row r="1" ht="22" customHeight="1">
      <x:c r="A1" s="2"/>
      <x:c r="B1" s="5" t="str">
        <x:v>KAIRO · unit economics before fixed costs</x:v>
      </x:c>
      <x:c r="C1" s="5"/>
      <x:c r="D1" s="5"/>
      <x:c r="E1" s="5"/>
      <x:c r="F1" s="5"/>
      <x:c r="G1" s="5"/>
      <x:c r="H1" s="5"/>
      <x:c r="I1" s="5"/>
      <x:c r="J1" s="5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22" customHeight="1">
      <x:c r="A2" s="2"/>
      <x:c r="B2" s="2" t="str">
        <x:v>Selected case</x:v>
      </x:c>
      <x:c r="C2" s="3" t="str">
        <x:f>Assumptions!B3</x:f>
        <x:v>Base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 ht="22" customHeight="1">
      <x:c r="A3" s="2"/>
      <x:c r="B3" s="2"/>
      <x:c r="C3" s="2"/>
      <x:c r="D3" s="2"/>
      <x:c r="E3" s="5" t="str">
        <x:v>Contribution sensitivity · price across / voice down</x:v>
      </x:c>
      <x:c r="F3" s="5"/>
      <x:c r="G3" s="5"/>
      <x:c r="H3" s="5"/>
      <x:c r="I3" s="5"/>
      <x:c r="J3" s="5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 ht="22" customHeight="1">
      <x:c r="A4" s="2"/>
      <x:c r="B4" s="2" t="str">
        <x:v>Consumer gross monthly price</x:v>
      </x:c>
      <x:c r="C4" s="16" t="n">
        <x:f>Assumptions!$C$43</x:f>
        <x:v>49</x:v>
      </x:c>
      <x:c r="D4" s="2"/>
      <x:c r="E4" s="19" t="n">
        <x:f>C14</x:f>
        <x:v>28.017550782608698</x:v>
      </x:c>
      <x:c r="F4" s="17" t="n">
        <x:v>29</x:v>
      </x:c>
      <x:c r="G4" s="17" t="n">
        <x:v>39</x:v>
      </x:c>
      <x:c r="H4" s="17" t="n">
        <x:v>49</x:v>
      </x:c>
      <x:c r="I4" s="17" t="n">
        <x:v>59</x:v>
      </x:c>
      <x:c r="J4" s="17" t="n">
        <x:v>79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 ht="22" customHeight="1">
      <x:c r="A5" s="2"/>
      <x:c r="B5" s="2" t="str">
        <x:v>Premium characters / month</x:v>
      </x:c>
      <x:c r="C5" s="18" t="n">
        <x:f>Assumptions!$C$21</x:f>
        <x:v>2500</x:v>
      </x:c>
      <x:c r="D5" s="2"/>
      <x:c r="E5" s="12" t="n">
        <x:v>0</x:v>
      </x:c>
      <x:c r="F5" s="17" t="n">
        <x:f t="dataTable" ref="F5:J9" dt2D="1" r1="C4" r2="C5"/>
        <x:v>13.7814855652174</x:v>
      </x:c>
      <x:c r="G5" s="17" t="n">
        <x:v>21.848268173913</x:v>
      </x:c>
      <x:c r="H5" s="17" t="n">
        <x:v>29.9150507826087</x:v>
      </x:c>
      <x:c r="I5" s="17" t="n">
        <x:v>37.9818333913044</x:v>
      </x:c>
      <x:c r="J5" s="17" t="n">
        <x:v>54.1153986086957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</x:row>
    <x:row r="6" ht="22" customHeight="1">
      <x:c r="A6" s="2"/>
      <x:c r="B6" s="2"/>
      <x:c r="C6" s="17"/>
      <x:c r="D6" s="2"/>
      <x:c r="E6" s="12" t="n">
        <x:v>2500</x:v>
      </x:c>
      <x:c r="F6" s="17" t="n">
        <x:v>11.8839855652174</x:v>
      </x:c>
      <x:c r="G6" s="17" t="n">
        <x:v>19.950768173913</x:v>
      </x:c>
      <x:c r="H6" s="17" t="n">
        <x:v>28.0175507826087</x:v>
      </x:c>
      <x:c r="I6" s="17" t="n">
        <x:v>36.0843333913044</x:v>
      </x:c>
      <x:c r="J6" s="17" t="n">
        <x:v>52.2178986086957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</x:row>
    <x:row r="7" ht="22" customHeight="1">
      <x:c r="A7" s="2"/>
      <x:c r="B7" s="2" t="str">
        <x:v>Consumer net revenue after refunds</x:v>
      </x:c>
      <x:c r="C7" s="16" t="n">
        <x:f>C4*(1-Assumptions!$C$32)/(1+Assumptions!$C$34*Assumptions!$C$45)</x:f>
        <x:v>41.3304347826087</x:v>
      </x:c>
      <x:c r="D7" s="2"/>
      <x:c r="E7" s="12" t="n">
        <x:v>8000</x:v>
      </x:c>
      <x:c r="F7" s="17" t="n">
        <x:v>7.7094855652174</x:v>
      </x:c>
      <x:c r="G7" s="17" t="n">
        <x:v>15.776268173913</x:v>
      </x:c>
      <x:c r="H7" s="17" t="n">
        <x:v>23.8430507826087</x:v>
      </x:c>
      <x:c r="I7" s="17" t="n">
        <x:v>31.9098333913044</x:v>
      </x:c>
      <x:c r="J7" s="17" t="n">
        <x:v>48.0433986086957</x:v>
      </x:c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</x:row>
    <x:row r="8" ht="22" customHeight="1">
      <x:c r="A8" s="2"/>
      <x:c r="B8" s="2" t="str">
        <x:v>Model lesson/help bundles</x:v>
      </x:c>
      <x:c r="C8" s="16" t="n">
        <x:f>Assumptions!$C$20*Assumptions!$C$35*Assumptions!$C$26*Assumptions!$C$19*(1+Assumptions!$C$44)</x:f>
        <x:v>0.9431839999999999</x:v>
      </x:c>
      <x:c r="D8" s="2"/>
      <x:c r="E8" s="12" t="n">
        <x:v>20000</x:v>
      </x:c>
      <x:c r="F8" s="17" t="n">
        <x:v>-1.3985144347826</x:v>
      </x:c>
      <x:c r="G8" s="17" t="n">
        <x:v>6.668268173913</x:v>
      </x:c>
      <x:c r="H8" s="17" t="n">
        <x:v>14.7350507826087</x:v>
      </x:c>
      <x:c r="I8" s="17" t="n">
        <x:v>22.8018333913044</x:v>
      </x:c>
      <x:c r="J8" s="17" t="n">
        <x:v>38.9353986086957</x:v>
      </x:c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</x:row>
    <x:row r="9" ht="22" customHeight="1">
      <x:c r="A9" s="2"/>
      <x:c r="B9" s="2" t="str">
        <x:v>Premium voice incl billable duplicates</x:v>
      </x:c>
      <x:c r="C9" s="16" t="n">
        <x:f>C5/1000000*Assumptions!$C$36*Assumptions!$C$26*Assumptions!$C$19*(1+Assumptions!$C$44)</x:f>
        <x:v>1.8975</x:v>
      </x:c>
      <x:c r="D9" s="2"/>
      <x:c r="E9" s="12" t="n">
        <x:v>80000</x:v>
      </x:c>
      <x:c r="F9" s="17" t="n">
        <x:v>-46.9385144347826</x:v>
      </x:c>
      <x:c r="G9" s="17" t="n">
        <x:v>-38.8717318260869</x:v>
      </x:c>
      <x:c r="H9" s="17" t="n">
        <x:v>-30.8049492173913</x:v>
      </x:c>
      <x:c r="I9" s="17" t="n">
        <x:v>-22.7381666086956</x:v>
      </x:c>
      <x:c r="J9" s="17" t="n">
        <x:v>-6.6046013913043</x:v>
      </x:c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</x:row>
    <x:row r="10" ht="22" customHeight="1">
      <x:c r="A10" s="2"/>
      <x:c r="B10" s="2" t="str">
        <x:v>Infrastructure reserve</x:v>
      </x:c>
      <x:c r="C10" s="16" t="n">
        <x:f>Assumptions!$C$37*Assumptions!$C$19*(1+Assumptions!$C$44)</x:f>
        <x:v>2.3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</x:row>
    <x:row r="11" ht="22" customHeight="1">
      <x:c r="A11" s="2"/>
      <x:c r="B11" s="2" t="str">
        <x:v>Human support</x:v>
      </x:c>
      <x:c r="C11" s="16" t="n">
        <x:f>Assumptions!$C$24/60*Assumptions!$C$25</x:f>
        <x:v>4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</x:row>
    <x:row r="12" ht="22" customHeight="1">
      <x:c r="A12" s="2"/>
      <x:c r="B12" s="2" t="str">
        <x:v>Card / refund fees incl VAT</x:v>
      </x:c>
      <x:c r="C12" s="16" t="n">
        <x:f>(C4*Assumptions!$C$39+Assumptions!$C$40+Assumptions!$C$32*Assumptions!$C$41)*(1+Assumptions!$C$34)</x:f>
        <x:v>4.1722</x:v>
      </x:c>
      <x:c r="D12" s="2"/>
      <x:c r="E12" s="9" t="str">
        <x:v>Sensitivity uses actual unit-model driver cells C4/C5; main inputs remain on Assumptions.</x:v>
      </x:c>
      <x:c r="F12" s="9"/>
      <x:c r="G12" s="9"/>
      <x:c r="H12" s="9"/>
      <x:c r="I12" s="9"/>
      <x:c r="J12" s="9"/>
      <x:c r="K12" s="9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</x:row>
    <x:row r="13" ht="22" customHeight="1">
      <x:c r="A13" s="2"/>
      <x:c r="B13" s="2" t="str">
        <x:v>Total variable cost</x:v>
      </x:c>
      <x:c r="C13" s="17" t="n">
        <x:f>SUM(C8:C12)</x:f>
        <x:v>13.312884</x:v>
      </x:c>
      <x:c r="D13" s="2"/>
      <x:c r="E13" s="9"/>
      <x:c r="F13" s="9"/>
      <x:c r="G13" s="9"/>
      <x:c r="H13" s="9"/>
      <x:c r="I13" s="9"/>
      <x:c r="J13" s="9"/>
      <x:c r="K13" s="9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</x:row>
    <x:row r="14" ht="22" customHeight="1">
      <x:c r="A14" s="2"/>
      <x:c r="B14" s="2" t="str">
        <x:v>Consumer contribution</x:v>
      </x:c>
      <x:c r="C14" s="17" t="n">
        <x:f>C7-C13</x:f>
        <x:v>28.017550782608698</x:v>
      </x:c>
      <x:c r="D14" s="2"/>
      <x:c r="E14" s="9" t="str">
        <x:v>Break-even excludes free users, new-cohort sales/onboarding and income tax. Zero means no positive margin.</x:v>
      </x:c>
      <x:c r="F14" s="9"/>
      <x:c r="G14" s="9"/>
      <x:c r="H14" s="9"/>
      <x:c r="I14" s="9"/>
      <x:c r="J14" s="9"/>
      <x:c r="K14" s="9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</x:row>
    <x:row r="15" ht="22" customHeight="1">
      <x:c r="A15" s="2"/>
      <x:c r="B15" s="2"/>
      <x:c r="C15" s="17"/>
      <x:c r="D15" s="2"/>
      <x:c r="E15" s="9"/>
      <x:c r="F15" s="9"/>
      <x:c r="G15" s="9"/>
      <x:c r="H15" s="9"/>
      <x:c r="I15" s="9"/>
      <x:c r="J15" s="9"/>
      <x:c r="K15" s="9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</x:row>
    <x:row r="16" ht="22" customHeight="1">
      <x:c r="A16" s="2"/>
      <x:c r="B16" s="2" t="str">
        <x:v>Free active user variable cost</x:v>
      </x:c>
      <x:c r="C16" s="16" t="n">
        <x:f>(Assumptions!$C$23*Assumptions!$C$35*Assumptions!$C$26*Assumptions!$C$19+Assumptions!$C$38*Assumptions!$C$19)*(1+Assumptions!$C$44)+0.25/60*Assumptions!$C$25</x:f>
        <x:v>1.2489489999999999</x:v>
      </x:c>
      <x:c r="D16" s="2"/>
      <x:c r="E16" s="9" t="str">
        <x:v>R49 and R35 are untested prices. Current app quotas are pilot limits; commercial packages are not implemented.</x:v>
      </x:c>
      <x:c r="F16" s="9"/>
      <x:c r="G16" s="9"/>
      <x:c r="H16" s="9"/>
      <x:c r="I16" s="9"/>
      <x:c r="J16" s="9"/>
      <x:c r="K16" s="9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</x:row>
    <x:row r="17" ht="22" customHeight="1">
      <x:c r="A17" s="2"/>
      <x:c r="B17" s="2" t="str">
        <x:v>Institution active learner cost</x:v>
      </x:c>
      <x:c r="C17" s="16" t="n">
        <x:f>2*Assumptions!$C$35*Assumptions!$C$26*Assumptions!$C$19*(1+Assumptions!$C$44)+C9+C10+Assumptions!$C$25/60</x:f>
        <x:v>6.669091999999999</x:v>
      </x:c>
      <x:c r="D17" s="2"/>
      <x:c r="E17" s="9"/>
      <x:c r="F17" s="9"/>
      <x:c r="G17" s="9"/>
      <x:c r="H17" s="9"/>
      <x:c r="I17" s="9"/>
      <x:c r="J17" s="9"/>
      <x:c r="K17" s="9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</x:row>
    <x:row r="18" ht="22" customHeight="1">
      <x:c r="A18" s="2"/>
      <x:c r="B18" s="2" t="str">
        <x:v>Institution contribution / licensed seat</x:v>
      </x:c>
      <x:c r="C18" s="16" t="n">
        <x:f>Assumptions!$C$17-Assumptions!$C$22*C17</x:f>
        <x:v>30.9985448</x:v>
      </x:c>
      <x:c r="D18" s="2"/>
      <x:c r="E18" s="9" t="str">
        <x:v>Cloud infrastructure is a provisional reserve, NOT a verified Johannesburg invoice.</x:v>
      </x:c>
      <x:c r="F18" s="9"/>
      <x:c r="G18" s="9"/>
      <x:c r="H18" s="9"/>
      <x:c r="I18" s="9"/>
      <x:c r="J18" s="9"/>
      <x:c r="K18" s="9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</x:row>
    <x:row r="19" ht="22" customHeight="1">
      <x:c r="A19" s="2"/>
      <x:c r="B19" s="2"/>
      <x:c r="C19" s="2"/>
      <x:c r="D19" s="2"/>
      <x:c r="E19" s="9"/>
      <x:c r="F19" s="9"/>
      <x:c r="G19" s="9"/>
      <x:c r="H19" s="9"/>
      <x:c r="I19" s="9"/>
      <x:c r="J19" s="9"/>
      <x:c r="K19" s="9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</x:row>
    <x:row r="20" ht="22" customHeight="1">
      <x:c r="A20" s="2"/>
      <x:c r="B20" s="2" t="str">
        <x:v>Consumer-only break-even accounts</x:v>
      </x:c>
      <x:c r="C20" s="18" t="n">
        <x:f>IF(C14&gt;0,ROUNDUP((Assumptions!$C$30+Assumptions!$C$31+Assumptions!$C$27)/C14,0),0)</x:f>
        <x:v>1696</x:v>
      </x:c>
      <x:c r="D20" s="2"/>
      <x:c r="E20" s="9" t="str">
        <x:v>Fee VAT/input credits are treated conservatively. Read ECONOMICS.md before using these figures.</x:v>
      </x:c>
      <x:c r="F20" s="9"/>
      <x:c r="G20" s="9"/>
      <x:c r="H20" s="9"/>
      <x:c r="I20" s="9"/>
      <x:c r="J20" s="9"/>
      <x:c r="K20" s="9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</x:row>
    <x:row r="21" ht="22" customHeight="1">
      <x:c r="A21" s="2"/>
      <x:c r="B21" s="2" t="str">
        <x:v>Institution-only break-even seats</x:v>
      </x:c>
      <x:c r="C21" s="18" t="n">
        <x:f>IF(C18&gt;0,ROUNDUP((Assumptions!$C$30+Assumptions!$C$31+Assumptions!$C$27)/C18,0),0)</x:f>
        <x:v>1533</x:v>
      </x:c>
      <x:c r="D21" s="2"/>
      <x:c r="E21" s="9"/>
      <x:c r="F21" s="9"/>
      <x:c r="G21" s="9"/>
      <x:c r="H21" s="9"/>
      <x:c r="I21" s="9"/>
      <x:c r="J21" s="9"/>
      <x:c r="K21" s="9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</x:row>
    <x:row r="22" ht="22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</x:row>
    <x:row r="23" ht="22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</x:row>
    <x:row r="24" ht="22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</x:row>
    <x:row r="25" ht="22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</x:row>
    <x:row r="26" ht="22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</x:row>
    <x:row r="27" ht="22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</x:row>
    <x:row r="28" ht="22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</x:row>
    <x:row r="31" ht="22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</x:row>
    <x:row r="41" ht="22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</x:row>
    <x:row r="43" ht="22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</x:row>
    <x:row r="44" ht="22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</x:row>
    <x:row r="45" ht="22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</x:row>
    <x:row r="46" ht="22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</x:row>
    <x:row r="47" ht="22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</x:row>
    <x:row r="48" ht="22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</x:row>
    <x:row r="49" ht="22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</x:row>
    <x:row r="50" ht="22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</x:row>
    <x:row r="51" ht="22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</x:row>
    <x:row r="52" ht="22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</x:row>
    <x:row r="53" ht="22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</x:row>
    <x:row r="54" ht="22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</x:row>
    <x:row r="55" ht="22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</x:row>
    <x:row r="56" ht="22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</x:row>
    <x:row r="57" ht="22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</x:row>
    <x:row r="58" ht="22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</x:row>
    <x:row r="59" ht="22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</x:row>
    <x:row r="60" ht="22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</x:row>
    <x:row r="61" ht="22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</x:row>
    <x:row r="62" ht="22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</x:row>
    <x:row r="63" ht="22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</x:row>
    <x:row r="64" ht="22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</x:row>
    <x:row r="65" ht="22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</x:row>
    <x:row r="66" ht="22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</x:row>
    <x:row r="67" ht="22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</x:row>
    <x:row r="68" ht="22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</x:row>
    <x:row r="69" ht="22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</x:row>
    <x:row r="70" ht="22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</x:row>
    <x:row r="71" ht="22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</x:row>
    <x:row r="72" ht="22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</x:row>
    <x:row r="73" ht="22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</x:row>
    <x:row r="75" ht="22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</x:row>
    <x:row r="76" ht="22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</x:row>
    <x:row r="77" ht="22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</x:row>
    <x:row r="80" ht="22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</x:row>
    <x:row r="81" ht="22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</x:row>
    <x:row r="82" ht="22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</x:row>
    <x:row r="83" ht="22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</x:row>
    <x:row r="84" ht="22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</x:row>
    <x:row r="85" ht="22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</x:row>
  </x:sheetData>
  <x:mergeCells>
    <x:mergeCell ref="B1:J1"/>
    <x:mergeCell ref="E3:J3"/>
    <x:mergeCell ref="E12:K13"/>
    <x:mergeCell ref="E14:K15"/>
    <x:mergeCell ref="E16:K17"/>
    <x:mergeCell ref="E18:K19"/>
    <x:mergeCell ref="E20:K21"/>
  </x:mergeCells>
  <x:conditionalFormatting sqref="F5:J9">
    <x:cfRule type="colorScale" priority="1">
      <x:colorScale>
        <x:cfvo type="min"/>
        <x:cfvo type="percentile" val="50"/>
        <x:cfvo type="max"/>
        <x:color rgb="FFCF6F63"/>
        <x:color rgb="FFF5F0E6"/>
        <x:color rgb="FFA7AF91"/>
      </x:colorScale>
    </x:cfRule>
  </x:conditionalFormatting>
  <x:pageMargins left="0.7" right="0.7" top="0.75" bottom="0.75" header="0.3" footer="0.3"/>
</x:worksheet>
</file>